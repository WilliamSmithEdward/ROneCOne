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E8B60C66-3BED-41FF-AAB8-DD2D41E0F4A1}" xr6:coauthVersionLast="47" xr6:coauthVersionMax="47" xr10:uidLastSave="{00000000-0000-0000-0000-000000000000}"/>
  <bookViews>
    <workbookView xWindow="390" yWindow="390" windowWidth="19440" windowHeight="1122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9" i="2" l="1"/>
  <c r="F18" i="2"/>
  <c r="F17" i="2"/>
  <c r="F16" i="2"/>
  <c r="F15" i="2"/>
  <c r="F14" i="2"/>
  <c r="F13" i="2"/>
  <c r="F12" i="2"/>
  <c r="F11" i="2"/>
  <c r="F10" i="2"/>
  <c r="D10" i="2"/>
  <c r="F9" i="2"/>
  <c r="F8" i="2"/>
  <c r="F7" i="2"/>
  <c r="F6" i="2"/>
  <c r="G7" i="1"/>
  <c r="G6" i="1" l="1"/>
</calcChain>
</file>

<file path=xl/sharedStrings.xml><?xml version="1.0" encoding="utf-8"?>
<sst xmlns="http://schemas.openxmlformats.org/spreadsheetml/2006/main" count="134" uniqueCount="116">
  <si>
    <t>ROneCOne JSON</t>
  </si>
  <si>
    <t>Parse, build, and bind JSON without leaving the workbook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</si>
  <si>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</si>
  <si>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</si>
  <si>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</si>
  <si>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</si>
  <si>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</si>
  <si>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</si>
  <si>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</si>
  <si>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RunROneCOneJsonDemo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</si>
  <si>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</si>
  <si>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</si>
  <si>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</si>
  <si>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</si>
  <si>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</si>
  <si>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</si>
  <si>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JSON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</si>
  <si>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</si>
  <si>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</si>
  <si>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</si>
  <si>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</si>
  <si>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</si>
  <si>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</si>
  <si>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</si>
  <si>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</si>
  <si>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</si>
  <si>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</si>
  <si>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</si>
  <si>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JSON examples</t>
  </si>
  <si>
    <t>Run RunROneCOneJsonDemo; column F validates every result.</t>
  </si>
  <si>
    <t>What it does</t>
  </si>
  <si>
    <t>C# equivalent (optional)</t>
  </si>
  <si>
    <t>ROneCOne VBA</t>
  </si>
  <si>
    <t>Expected</t>
  </si>
  <si>
    <t>Live result</t>
  </si>
  <si>
    <t>Parse and read one member</t>
  </si>
  <si>
    <t>JsonNode.Parse(json)["customer"]</t>
  </si>
  <si>
    <t>Set tree = ROneCOne.Json.Deserialize(body)
tree.Item("customer")</t>
  </si>
  <si>
    <t>Ada</t>
  </si>
  <si>
    <t>Walk into nested data</t>
  </si>
  <si>
    <t>node["address"]["city"]</t>
  </si>
  <si>
    <t>tree.Item("address").Item("city")</t>
  </si>
  <si>
    <t>London</t>
  </si>
  <si>
    <t>Index into an array</t>
  </si>
  <si>
    <t>node["tags"][1]</t>
  </si>
  <si>
    <t>tree.Item("tags").Item(1)</t>
  </si>
  <si>
    <t>priority</t>
  </si>
  <si>
    <t>Serialize a collection</t>
  </si>
  <si>
    <t>JsonSerializer.Serialize(new[] { 1, 2, 3 })</t>
  </si>
  <si>
    <t>ROneCOne.ListOf(vbLong, 1, 2, 3).ToJson</t>
  </si>
  <si>
    <t>[1,2,3]</t>
  </si>
  <si>
    <t>Round-trip indented output</t>
  </si>
  <si>
    <t>new JsonSerializerOptions { WriteIndented = true }</t>
  </si>
  <si>
    <t>pretty = ROneCOne.Json.Serialize(tree, True)
Set again = ROneCOne.Json.Deserialize(pretty)</t>
  </si>
  <si>
    <t>Land an array in a DataTable</t>
  </si>
  <si>
    <t>JsonSerializer.Deserialize&lt;List&lt;Order&gt;&gt;(json)</t>
  </si>
  <si>
    <t>Set orders = ROneCOne.Json.DeserializeTable( _
    ordersJson, "Orders")</t>
  </si>
  <si>
    <t>Read a dotted nested column</t>
  </si>
  <si>
    <t>flatten with a custom converter</t>
  </si>
  <si>
    <t>orders.Rows.Item(0).Item("customer.city")</t>
  </si>
  <si>
    <t>Address an envelope path</t>
  </si>
  <si>
    <t>root.GetProperty("data").GetProperty("items")</t>
  </si>
  <si>
    <t>ROneCOne.Json.DeserializeTable( _
    envelope, "Items", "$.data.items")</t>
  </si>
  <si>
    <t>Bind onto your class</t>
  </si>
  <si>
    <t>JsonSerializer.Deserialize&lt;Customer&gt;(json)</t>
  </si>
  <si>
    <t>ROneCOne.Json.DeserializeInto bindBody, customer
customer.CustomerName</t>
  </si>
  <si>
    <t>Grace</t>
  </si>
  <si>
    <t>Build objects through a factory</t>
  </si>
  <si>
    <t>JsonSerializer
    .Deserialize&lt;List&lt;Customer&gt;&gt;(json)</t>
  </si>
  <si>
    <t>Set factory = ROneCOne.Func( _
    "JsonDemoUsage.NewDemoCustomer") _
    .Takes().Returns(vbObject)
Set people = ROneCOne.Json.DeserializeObjects( _
    peopleJson, factory)</t>
  </si>
  <si>
    <t>Bo</t>
  </si>
  <si>
    <t>Turn objects back into a table</t>
  </si>
  <si>
    <t>custom mapping code</t>
  </si>
  <si>
    <t>ROneCOne.DataTableFromObjects(people, _
    Array("CustomerName", "Age", "City"))</t>
  </si>
  <si>
    <t>Reject malformed JSON</t>
  </si>
  <si>
    <t>JsonException with position info</t>
  </si>
  <si>
    <t>On Error Resume Next
ROneCOne.Json.Deserialize "{""a"":1,}"
If Err.Number = ROneCOne.JsonError Then ...</t>
  </si>
  <si>
    <t>trailing comma rejected</t>
  </si>
  <si>
    <t>Read only the members you need</t>
  </si>
  <si>
    <t>no BCL analogue; contract shaping</t>
  </si>
  <si>
    <t>ROneCOne.Json.DeserializeOnly(fat, Array( _
    "$.id", "$.sprites.front_default")) _
    .Item("sprites").Item("front_default")</t>
  </si>
  <si>
    <t>front.png</t>
  </si>
  <si>
    <t>Or just one value by path</t>
  </si>
  <si>
    <t>JsonDocument path navigation</t>
  </si>
  <si>
    <t>ROneCOne.Json.DeserializeAt(fat, "$.name")</t>
  </si>
  <si>
    <t>pikachu</t>
  </si>
  <si>
    <t>JSON benchmark</t>
  </si>
  <si>
    <t>Measured in the same Excel process.</t>
  </si>
  <si>
    <t>Scenario</t>
  </si>
  <si>
    <t>Iterations</t>
  </si>
  <si>
    <t>Seconds</t>
  </si>
  <si>
    <t>Round-tripped rows</t>
  </si>
  <si>
    <t>Round-trip a 1,000-order table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</si>
  <si>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</si>
  <si>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</si>
  <si>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</si>
  <si>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</si>
  <si>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</si>
  <si>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</si>
  <si>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</si>
  <si>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</si>
  <si>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</si>
  <si>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</si>
  <si>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Strict parsing</t>
  </si>
  <si>
    <t>RFC 8259</t>
  </si>
  <si>
    <t>Malformed JSON raises a typed, positioned error</t>
  </si>
  <si>
    <t>Native model</t>
  </si>
  <si>
    <t>Dictionaries + lists</t>
  </si>
  <si>
    <t>A parsed tree is queryable immediately</t>
  </si>
  <si>
    <t>Locale-proof numbers</t>
  </si>
  <si>
    <t>Invariant separator</t>
  </si>
  <si>
    <t>Serialized numbers always use a dot</t>
  </si>
  <si>
    <t>Explicit binding</t>
  </si>
  <si>
    <t>Factories + property names</t>
  </si>
  <si>
    <t>No reflection, no Activator, no magic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</si>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</sst>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4" xfId="0" applyBorder="1"/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</cellXfs>
  <cellStyles count="1">
    <cellStyle name="Normal" xfId="0" builtinId="0"/>
  </cellStyles>
  <dxfs count="3">
    <dxf>
      <font>
        <b/>
        <color rgb="FF9A4A00"/>
      </font>
      <fill>
        <patternFill patternType="solid">
          <bgColor rgb="FFFFF4E8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4" customWidth="1"/>
    <col min="3" max="4" width="26" customWidth="1"/>
    <col min="6" max="6" width="26" customWidth="1"/>
    <col min="7" max="8" width="19" customWidth="1"/>
  </cols>
  <sheetData>
    <row r="1" spans="1:8" ht="24" customHeight="1">
      <c r="A1" s="16" t="s">
        <v>0</v>
      </c>
      <c r="B1" s="16"/>
      <c r="C1" s="16"/>
      <c r="D1" s="16"/>
      <c r="E1" s="16"/>
      <c r="F1" s="16"/>
      <c r="G1" s="16"/>
      <c r="H1" s="16"/>
    </row>
    <row r="2" spans="1:8" ht="24" customHeight="1">
      <c r="A2" s="16"/>
      <c r="B2" s="16"/>
      <c r="C2" s="16"/>
      <c r="D2" s="16"/>
      <c r="E2" s="16"/>
      <c r="F2" s="16"/>
      <c r="G2" s="16"/>
      <c r="H2" s="16"/>
    </row>
    <row r="3" spans="1:8" ht="24" customHeight="1">
      <c r="A3" s="17" t="s">
        <v>1</v>
      </c>
      <c r="B3" s="17"/>
      <c r="C3" s="17"/>
      <c r="D3" s="17"/>
      <c r="E3" s="17"/>
      <c r="F3" s="17"/>
      <c r="G3" s="17"/>
      <c r="H3" s="17"/>
    </row>
    <row r="4" spans="1:8">
      <c r="A4" s="3"/>
      <c r="B4" s="3"/>
      <c r="C4" s="3"/>
      <c r="D4" s="3"/>
      <c r="E4" s="3"/>
      <c r="F4" s="3"/>
      <c r="G4" s="3"/>
      <c r="H4" s="3"/>
    </row>
    <row r="5" spans="1:8" ht="15">
      <c r="A5" s="18" t="s">
        <v>2</v>
      </c>
      <c r="B5" s="19"/>
      <c r="C5" s="19"/>
      <c r="D5" s="20"/>
      <c r="E5" s="3"/>
      <c r="F5" s="18" t="s">
        <v>3</v>
      </c>
      <c r="G5" s="19"/>
      <c r="H5" s="20"/>
    </row>
    <row r="6" spans="1:8" ht="33.950000000000003" customHeight="1">
      <c r="A6" s="4" t="s">
        <v>4</v>
      </c>
      <c r="B6" s="5" t="s">
        <v>5</v>
      </c>
      <c r="C6" s="5" t="s">
        <v>6</v>
      </c>
      <c r="D6" s="5"/>
      <c r="E6" s="3"/>
      <c r="F6" s="6" t="s">
        <v>7</v>
      </c>
      <c r="G6" s="7">
        <f>COUNTIF(Examples!F6:F19,"PASS")</f>
        <v>14</v>
      </c>
      <c r="H6" s="3"/>
    </row>
    <row r="7" spans="1:8" ht="33.950000000000003" customHeight="1">
      <c r="A7" s="4" t="s">
        <v>8</v>
      </c>
      <c r="B7" s="5" t="s">
        <v>9</v>
      </c>
      <c r="C7" s="5" t="s">
        <v>10</v>
      </c>
      <c r="D7" s="5"/>
      <c r="E7" s="3"/>
      <c r="F7" s="6" t="s">
        <v>11</v>
      </c>
      <c r="G7" s="7">
        <f>COUNTA(Examples!A6:A19)</f>
        <v>14</v>
      </c>
      <c r="H7" s="3"/>
    </row>
    <row r="8" spans="1:8" ht="33.950000000000003" customHeight="1">
      <c r="A8" s="4" t="s">
        <v>12</v>
      </c>
      <c r="B8" s="5" t="s">
        <v>13</v>
      </c>
      <c r="C8" s="5" t="s">
        <v>14</v>
      </c>
      <c r="D8" s="5"/>
      <c r="E8" s="3"/>
      <c r="F8" s="6" t="s">
        <v>15</v>
      </c>
      <c r="G8" s="8" t="s">
        <v>16</v>
      </c>
      <c r="H8" s="3"/>
    </row>
    <row r="9" spans="1:8" ht="33.950000000000003" customHeight="1">
      <c r="A9" s="4" t="s">
        <v>17</v>
      </c>
      <c r="B9" s="5" t="s">
        <v>18</v>
      </c>
      <c r="C9" s="5" t="s">
        <v>19</v>
      </c>
      <c r="D9" s="5"/>
      <c r="E9" s="3"/>
      <c r="F9" s="6" t="s">
        <v>20</v>
      </c>
      <c r="G9" s="8">
        <v>1</v>
      </c>
      <c r="H9" s="3"/>
    </row>
    <row r="10" spans="1:8" ht="33.950000000000003" customHeight="1">
      <c r="A10" s="3"/>
      <c r="B10" s="3"/>
      <c r="C10" s="3"/>
      <c r="D10" s="3"/>
      <c r="E10" s="3"/>
      <c r="F10" s="6" t="s">
        <v>21</v>
      </c>
      <c r="G10" s="8">
        <v>0</v>
      </c>
      <c r="H10" s="3"/>
    </row>
    <row r="11" spans="1:8" ht="15">
      <c r="A11" s="9" t="s">
        <v>22</v>
      </c>
      <c r="B11" s="9" t="s">
        <v>23</v>
      </c>
      <c r="C11" s="3"/>
      <c r="D11" s="3"/>
      <c r="E11" s="3"/>
      <c r="F11" s="3"/>
      <c r="G11" s="3"/>
      <c r="H11" s="3"/>
    </row>
    <row r="12" spans="1:8">
      <c r="A12" s="5" t="s">
        <v>24</v>
      </c>
      <c r="B12" s="10">
        <v>46288.68341435185</v>
      </c>
      <c r="C12" s="3"/>
      <c r="D12" s="3"/>
      <c r="E12" s="3"/>
      <c r="F12" s="3"/>
      <c r="G12" s="3"/>
      <c r="H12" s="3"/>
    </row>
    <row r="13" spans="1:8" ht="15">
      <c r="A13" s="5" t="s">
        <v>25</v>
      </c>
      <c r="B13" s="11" t="s">
        <v>115</v>
      </c>
      <c r="C13" s="3"/>
      <c r="D13" s="3"/>
      <c r="E13" s="3"/>
      <c r="F13" s="3"/>
      <c r="G13" s="3"/>
      <c r="H13" s="3"/>
    </row>
    <row r="14" spans="1:8">
      <c r="A14" s="5" t="s">
        <v>26</v>
      </c>
      <c r="B14" s="5"/>
      <c r="C14" s="3"/>
      <c r="D14" s="3"/>
      <c r="E14" s="3"/>
      <c r="F14" s="3"/>
      <c r="G14" s="3"/>
      <c r="H14" s="3"/>
    </row>
    <row r="15" spans="1:8">
      <c r="A15" s="3"/>
      <c r="B15" s="3"/>
      <c r="C15" s="3"/>
      <c r="D15" s="3"/>
      <c r="E15" s="3"/>
      <c r="F15" s="3"/>
      <c r="G15" s="3"/>
      <c r="H15" s="3"/>
    </row>
    <row r="16" spans="1:8" ht="15">
      <c r="A16" s="21" t="s">
        <v>27</v>
      </c>
      <c r="B16" s="21"/>
      <c r="C16" s="21"/>
      <c r="D16" s="21"/>
      <c r="E16" s="21"/>
      <c r="F16" s="21"/>
      <c r="G16" s="21"/>
      <c r="H16" s="21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9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7" customWidth="1"/>
    <col min="3" max="3" width="61" customWidth="1"/>
    <col min="4" max="5" width="18" customWidth="1"/>
    <col min="6" max="6" width="14" customWidth="1"/>
  </cols>
  <sheetData>
    <row r="1" spans="1:6" ht="24" customHeight="1">
      <c r="A1" s="16" t="s">
        <v>28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29</v>
      </c>
      <c r="B3" s="17"/>
      <c r="C3" s="17"/>
      <c r="D3" s="17"/>
      <c r="E3" s="17"/>
      <c r="F3" s="17"/>
    </row>
    <row r="5" spans="1:6" ht="15">
      <c r="A5" s="2" t="s">
        <v>30</v>
      </c>
      <c r="B5" s="2" t="s">
        <v>31</v>
      </c>
      <c r="C5" s="2" t="s">
        <v>32</v>
      </c>
      <c r="D5" s="2" t="s">
        <v>33</v>
      </c>
      <c r="E5" s="2" t="s">
        <v>34</v>
      </c>
      <c r="F5" s="2" t="s">
        <v>25</v>
      </c>
    </row>
    <row r="6" spans="1:6" ht="62.1" customHeight="1">
      <c r="A6" s="12" t="s">
        <v>35</v>
      </c>
      <c r="B6" s="12" t="s">
        <v>36</v>
      </c>
      <c r="C6" s="13" t="s">
        <v>37</v>
      </c>
      <c r="D6" s="12" t="s">
        <v>38</v>
      </c>
      <c r="E6" s="12" t="s">
        <v>38</v>
      </c>
      <c r="F6" s="12" t="str">
        <f t="shared" ref="F6:F19" si="0">IF(E6="","NOT RUN",IF(E6=D6,"PASS","CHECK"))</f>
        <v>PASS</v>
      </c>
    </row>
    <row r="7" spans="1:6" ht="62.1" customHeight="1">
      <c r="A7" s="12" t="s">
        <v>39</v>
      </c>
      <c r="B7" s="12" t="s">
        <v>40</v>
      </c>
      <c r="C7" s="13" t="s">
        <v>41</v>
      </c>
      <c r="D7" s="12" t="s">
        <v>42</v>
      </c>
      <c r="E7" s="12" t="s">
        <v>42</v>
      </c>
      <c r="F7" s="12" t="str">
        <f t="shared" si="0"/>
        <v>PASS</v>
      </c>
    </row>
    <row r="8" spans="1:6" ht="62.1" customHeight="1">
      <c r="A8" s="12" t="s">
        <v>43</v>
      </c>
      <c r="B8" s="12" t="s">
        <v>44</v>
      </c>
      <c r="C8" s="13" t="s">
        <v>45</v>
      </c>
      <c r="D8" s="12" t="s">
        <v>46</v>
      </c>
      <c r="E8" s="12" t="s">
        <v>46</v>
      </c>
      <c r="F8" s="12" t="str">
        <f t="shared" si="0"/>
        <v>PASS</v>
      </c>
    </row>
    <row r="9" spans="1:6" ht="62.1" customHeight="1">
      <c r="A9" s="12" t="s">
        <v>47</v>
      </c>
      <c r="B9" s="12" t="s">
        <v>48</v>
      </c>
      <c r="C9" s="13" t="s">
        <v>49</v>
      </c>
      <c r="D9" s="12" t="s">
        <v>50</v>
      </c>
      <c r="E9" s="12" t="s">
        <v>50</v>
      </c>
      <c r="F9" s="12" t="str">
        <f t="shared" si="0"/>
        <v>PASS</v>
      </c>
    </row>
    <row r="10" spans="1:6" ht="62.1" customHeight="1">
      <c r="A10" s="12" t="s">
        <v>51</v>
      </c>
      <c r="B10" s="12" t="s">
        <v>52</v>
      </c>
      <c r="C10" s="13" t="s">
        <v>53</v>
      </c>
      <c r="D10" s="12" t="b">
        <f>TRUE</f>
        <v>1</v>
      </c>
      <c r="E10" s="12" t="b">
        <v>1</v>
      </c>
      <c r="F10" s="12" t="str">
        <f t="shared" si="0"/>
        <v>PASS</v>
      </c>
    </row>
    <row r="11" spans="1:6" ht="62.1" customHeight="1">
      <c r="A11" s="12" t="s">
        <v>54</v>
      </c>
      <c r="B11" s="12" t="s">
        <v>55</v>
      </c>
      <c r="C11" s="13" t="s">
        <v>56</v>
      </c>
      <c r="D11" s="12">
        <v>3</v>
      </c>
      <c r="E11" s="12">
        <v>3</v>
      </c>
      <c r="F11" s="12" t="str">
        <f t="shared" si="0"/>
        <v>PASS</v>
      </c>
    </row>
    <row r="12" spans="1:6" ht="62.1" customHeight="1">
      <c r="A12" s="12" t="s">
        <v>57</v>
      </c>
      <c r="B12" s="12" t="s">
        <v>58</v>
      </c>
      <c r="C12" s="13" t="s">
        <v>59</v>
      </c>
      <c r="D12" s="12" t="s">
        <v>42</v>
      </c>
      <c r="E12" s="12" t="s">
        <v>42</v>
      </c>
      <c r="F12" s="12" t="str">
        <f t="shared" si="0"/>
        <v>PASS</v>
      </c>
    </row>
    <row r="13" spans="1:6" ht="62.1" customHeight="1">
      <c r="A13" s="12" t="s">
        <v>60</v>
      </c>
      <c r="B13" s="12" t="s">
        <v>61</v>
      </c>
      <c r="C13" s="13" t="s">
        <v>62</v>
      </c>
      <c r="D13" s="12">
        <v>2</v>
      </c>
      <c r="E13" s="12">
        <v>2</v>
      </c>
      <c r="F13" s="12" t="str">
        <f t="shared" si="0"/>
        <v>PASS</v>
      </c>
    </row>
    <row r="14" spans="1:6" ht="62.1" customHeight="1">
      <c r="A14" s="12" t="s">
        <v>63</v>
      </c>
      <c r="B14" s="12" t="s">
        <v>64</v>
      </c>
      <c r="C14" s="13" t="s">
        <v>65</v>
      </c>
      <c r="D14" s="12" t="s">
        <v>66</v>
      </c>
      <c r="E14" s="12" t="s">
        <v>66</v>
      </c>
      <c r="F14" s="12" t="str">
        <f t="shared" si="0"/>
        <v>PASS</v>
      </c>
    </row>
    <row r="15" spans="1:6" ht="69" customHeight="1">
      <c r="A15" s="12" t="s">
        <v>67</v>
      </c>
      <c r="B15" s="12" t="s">
        <v>68</v>
      </c>
      <c r="C15" s="13" t="s">
        <v>69</v>
      </c>
      <c r="D15" s="12" t="s">
        <v>70</v>
      </c>
      <c r="E15" s="12" t="s">
        <v>70</v>
      </c>
      <c r="F15" s="12" t="str">
        <f t="shared" si="0"/>
        <v>PASS</v>
      </c>
    </row>
    <row r="16" spans="1:6" ht="62.1" customHeight="1">
      <c r="A16" s="12" t="s">
        <v>71</v>
      </c>
      <c r="B16" s="12" t="s">
        <v>72</v>
      </c>
      <c r="C16" s="13" t="s">
        <v>73</v>
      </c>
      <c r="D16" s="12">
        <v>2</v>
      </c>
      <c r="E16" s="12">
        <v>2</v>
      </c>
      <c r="F16" s="12" t="str">
        <f t="shared" si="0"/>
        <v>PASS</v>
      </c>
    </row>
    <row r="17" spans="1:6" ht="62.1" customHeight="1">
      <c r="A17" s="12" t="s">
        <v>74</v>
      </c>
      <c r="B17" s="12" t="s">
        <v>75</v>
      </c>
      <c r="C17" s="13" t="s">
        <v>76</v>
      </c>
      <c r="D17" s="12" t="s">
        <v>77</v>
      </c>
      <c r="E17" s="12" t="s">
        <v>77</v>
      </c>
      <c r="F17" s="12" t="str">
        <f t="shared" si="0"/>
        <v>PASS</v>
      </c>
    </row>
    <row r="18" spans="1:6" ht="62.1" customHeight="1">
      <c r="A18" s="12" t="s">
        <v>78</v>
      </c>
      <c r="B18" s="12" t="s">
        <v>79</v>
      </c>
      <c r="C18" s="13" t="s">
        <v>80</v>
      </c>
      <c r="D18" s="12" t="s">
        <v>81</v>
      </c>
      <c r="E18" s="12" t="s">
        <v>81</v>
      </c>
      <c r="F18" s="12" t="str">
        <f t="shared" si="0"/>
        <v>PASS</v>
      </c>
    </row>
    <row r="19" spans="1:6" ht="62.1" customHeight="1">
      <c r="A19" s="12" t="s">
        <v>82</v>
      </c>
      <c r="B19" s="12" t="s">
        <v>83</v>
      </c>
      <c r="C19" s="13" t="s">
        <v>84</v>
      </c>
      <c r="D19" s="12" t="s">
        <v>85</v>
      </c>
      <c r="E19" s="12" t="s">
        <v>85</v>
      </c>
      <c r="F19" s="12" t="str">
        <f t="shared" si="0"/>
        <v>PASS</v>
      </c>
    </row>
  </sheetData>
  <mergeCells count="2">
    <mergeCell ref="A1:F2"/>
    <mergeCell ref="A3:F3"/>
  </mergeCells>
  <conditionalFormatting sqref="F6:F19">
    <cfRule type="containsText" dxfId="2" priority="1" operator="containsText" text="PASS"/>
    <cfRule type="containsText" dxfId="1" priority="2" operator="containsText" text="CHECK"/>
    <cfRule type="containsText" dxfId="0" priority="3" operator="containsText" text="NOT RUN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44" customWidth="1"/>
    <col min="2" max="4" width="23" customWidth="1"/>
  </cols>
  <sheetData>
    <row r="1" spans="1:6" ht="24" customHeight="1">
      <c r="A1" s="16" t="s">
        <v>86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87</v>
      </c>
      <c r="B3" s="17"/>
      <c r="C3" s="17"/>
      <c r="D3" s="17"/>
      <c r="E3" s="17"/>
      <c r="F3" s="17"/>
    </row>
    <row r="5" spans="1:6" ht="15">
      <c r="A5" s="2" t="s">
        <v>88</v>
      </c>
      <c r="B5" s="2" t="s">
        <v>89</v>
      </c>
      <c r="C5" s="2" t="s">
        <v>90</v>
      </c>
      <c r="D5" s="2" t="s">
        <v>91</v>
      </c>
    </row>
    <row r="6" spans="1:6">
      <c r="A6" s="1" t="s">
        <v>92</v>
      </c>
      <c r="B6" s="1">
        <v>1000</v>
      </c>
      <c r="C6" s="14">
        <v>1.9921875</v>
      </c>
      <c r="D6" s="1">
        <v>1000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2" width="32" customWidth="1"/>
    <col min="3" max="3" width="40" customWidth="1"/>
    <col min="4" max="6" width="18" customWidth="1"/>
  </cols>
  <sheetData>
    <row r="1" spans="1:6" ht="24" customHeight="1">
      <c r="A1" s="16" t="s">
        <v>93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94</v>
      </c>
      <c r="B3" s="17"/>
      <c r="C3" s="17"/>
      <c r="D3" s="17"/>
      <c r="E3" s="17"/>
      <c r="F3" s="17"/>
    </row>
    <row r="5" spans="1:6" ht="15">
      <c r="A5" s="2" t="s">
        <v>95</v>
      </c>
      <c r="B5" s="2" t="s">
        <v>96</v>
      </c>
      <c r="C5" s="2" t="s">
        <v>97</v>
      </c>
      <c r="D5" s="2" t="s">
        <v>25</v>
      </c>
      <c r="E5" s="2" t="s">
        <v>20</v>
      </c>
      <c r="F5" s="2" t="s">
        <v>98</v>
      </c>
    </row>
    <row r="6" spans="1:6" ht="32.1" customHeight="1">
      <c r="A6" s="12" t="s">
        <v>99</v>
      </c>
      <c r="B6" s="12" t="s">
        <v>100</v>
      </c>
      <c r="C6" s="12" t="s">
        <v>101</v>
      </c>
      <c r="D6" s="15" t="s">
        <v>102</v>
      </c>
      <c r="E6" s="12">
        <v>1</v>
      </c>
      <c r="F6" s="12">
        <v>0</v>
      </c>
    </row>
    <row r="7" spans="1:6" ht="32.1" customHeight="1">
      <c r="A7" s="12" t="s">
        <v>103</v>
      </c>
      <c r="B7" s="12" t="s">
        <v>104</v>
      </c>
      <c r="C7" s="12" t="s">
        <v>105</v>
      </c>
      <c r="D7" s="15" t="s">
        <v>102</v>
      </c>
      <c r="E7" s="12">
        <v>1</v>
      </c>
      <c r="F7" s="12">
        <v>0</v>
      </c>
    </row>
    <row r="8" spans="1:6" ht="32.1" customHeight="1">
      <c r="A8" s="12" t="s">
        <v>106</v>
      </c>
      <c r="B8" s="12" t="s">
        <v>107</v>
      </c>
      <c r="C8" s="12" t="s">
        <v>108</v>
      </c>
      <c r="D8" s="15" t="s">
        <v>102</v>
      </c>
      <c r="E8" s="12">
        <v>1</v>
      </c>
      <c r="F8" s="12">
        <v>0</v>
      </c>
    </row>
    <row r="9" spans="1:6" ht="32.1" customHeight="1">
      <c r="A9" s="12" t="s">
        <v>109</v>
      </c>
      <c r="B9" s="12" t="s">
        <v>110</v>
      </c>
      <c r="C9" s="12" t="s">
        <v>111</v>
      </c>
      <c r="D9" s="15" t="s">
        <v>102</v>
      </c>
      <c r="E9" s="12">
        <v>1</v>
      </c>
      <c r="F9" s="12">
        <v>0</v>
      </c>
    </row>
    <row r="10" spans="1:6" ht="32.1" customHeight="1">
      <c r="A10" s="12" t="s">
        <v>112</v>
      </c>
      <c r="B10" s="12" t="s">
        <v>113</v>
      </c>
      <c r="C10" s="12" t="s">
        <v>114</v>
      </c>
      <c r="D10" s="15" t="s">
        <v>102</v>
      </c>
      <c r="E10" s="12">
        <v>1</v>
      </c>
      <c r="F10" s="1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2026-09-23T01:48:32Z</dcterms:created>
  <dcterms:modified xsi:type="dcterms:W3CDTF">2026-09-23T23:24:07Z</dcterms:modified>
</cp:coreProperties>
</file>