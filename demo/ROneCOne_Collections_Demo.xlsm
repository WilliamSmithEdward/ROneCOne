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"/>
    </mc:Choice>
  </mc:AlternateContent>
  <xr:revisionPtr revIDLastSave="0" documentId="13_ncr:1_{003DBCAA-C52D-47F5-987F-D7CCC3D3F636}" xr6:coauthVersionLast="47" xr6:coauthVersionMax="47" xr10:uidLastSave="{00000000-0000-0000-0000-000000000000}"/>
  <bookViews>
    <workbookView xWindow="-120" yWindow="-120" windowWidth="9840" windowHeight="6720" xr2:uid="{00000000-000D-0000-FFFF-FFFF00000000}"/>
  </bookViews>
  <sheets>
    <sheet name="Start Here" sheetId="1" r:id="rId1"/>
    <sheet name="Examples" sheetId="2" r:id="rId2"/>
    <sheet name="User Class LINQ" sheetId="3" r:id="rId3"/>
    <sheet name="Benchmarks" sheetId="4" r:id="rId4"/>
    <sheet name="Architecture" sheetId="5" r:id="rId5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8" i="4" l="1"/>
  <c r="E7" i="4"/>
  <c r="E6" i="4"/>
  <c r="F22" i="3"/>
  <c r="F21" i="3"/>
  <c r="F20" i="3"/>
  <c r="F19" i="3"/>
  <c r="F18" i="3"/>
  <c r="F17" i="3"/>
  <c r="F16" i="3"/>
  <c r="F15" i="3"/>
  <c r="F14" i="3"/>
  <c r="F13" i="3"/>
  <c r="F12" i="3"/>
  <c r="F11" i="3"/>
  <c r="F10" i="3"/>
  <c r="F9" i="3"/>
  <c r="F8" i="3"/>
  <c r="F7" i="3"/>
  <c r="F6" i="3"/>
  <c r="F13" i="2"/>
  <c r="F12" i="2"/>
  <c r="F11" i="2"/>
  <c r="F10" i="2"/>
  <c r="F9" i="2"/>
  <c r="F8" i="2"/>
  <c r="F7" i="2"/>
  <c r="F6" i="2"/>
  <c r="G7" i="1"/>
  <c r="G6" i="1" l="1"/>
</calcChain>
</file>

<file path=xl/sharedStrings.xml><?xml version="1.0" encoding="utf-8"?>
<sst xmlns="http://schemas.openxmlformats.org/spreadsheetml/2006/main" count="217" uniqueCount="176">
  <si>
    <t>ROneCOne Collections + LINQ</t>
  </si>
  <si>
    <t>Frictionless List&lt;T&gt;, user-defined classes, and deferred LINQ-style pipelines</t>
  </si>
  <si>
    <t>Run this capability demo</t>
  </si>
  <si>
    <t>Live status</t>
  </si>
  <si>
    <t>1</t>
  </si>
  <si>
    <t>Press Alt+F8</t>
  </si>
  <si>
    <t>Open Excel's Macro dialog</t>
  </si>
  <si>
    <t>Examples passing</t>
  </si>
  <si>
    <t>2</t>
  </si>
  <si>
    <t>Run RunROneCOneCollectionsDemo</t>
  </si>
  <si>
    <t>Executes examples and benchmark</t>
  </si>
  <si>
    <t>Examples total</t>
  </si>
  <si>
    <t>3</t>
  </si>
  <si>
    <t>Review both example sheets</t>
  </si>
  <si>
    <t>Formula-backed PASS checks</t>
  </si>
  <si>
    <t>Feature slice</t>
  </si>
  <si>
    <t>List&lt;T&gt; + LINQ</t>
  </si>
  <si>
    <t>4</t>
  </si>
  <si>
    <t>Import ROneCOne.cls</t>
  </si>
  <si>
    <t>The deployed runtime remains one file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</si>
  <si>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</si>
  <si>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</si>
  <si>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</si>
  <si>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</si>
  <si>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</si>
  <si>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</si>
  <si>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</si>
  <si>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Privacy invariant: no telemetry, no network transmission, and no runtime VBIDE access.</t>
  </si>
  <si>
    <t>Live List&lt;T&gt; and LINQ examples</t>
  </si>
  <si>
    <t>Column E is written by the macro; column F verifies it with worksheet formulas.</t>
  </si>
  <si>
    <t>Pattern</t>
  </si>
  <si>
    <t>C# idea</t>
  </si>
  <si>
    <t>ROneCOne VBA</t>
  </si>
  <si>
    <t>Expected</t>
  </si>
  <si>
    <t>Live result</t>
  </si>
  <si>
    <t>Primitive list</t>
  </si>
  <si>
    <t>new List&lt;long&gt; { 5, 10, 15 }</t>
  </si>
  <si>
    <t>ROneCOne.ListOf(vbLong, CLng(5), CLng(10), CLng(15))</t>
  </si>
  <si>
    <t>List&lt;Long&gt;</t>
  </si>
  <si>
    <t>Strict T</t>
  </si>
  <si>
    <t>Compile-time element type</t>
  </si>
  <si>
    <t>values.Add "not a Long"</t>
  </si>
  <si>
    <t>User class</t>
  </si>
  <si>
    <t>new List&lt;DemoCustomer&gt; { ada, grace }</t>
  </si>
  <si>
    <t>ROneCOne.ListFrom(ada, grace)</t>
  </si>
  <si>
    <t>List&lt;DemoCustomer&gt;:Grace</t>
  </si>
  <si>
    <t>Deferred Where</t>
  </si>
  <si>
    <t>query observes later mutation</t>
  </si>
  <si>
    <t>Set element = values.Element
Set query = values.Where(element.AtLeast(10))
values.Add 30</t>
  </si>
  <si>
    <t>2|30</t>
  </si>
  <si>
    <t>LINQ pipeline</t>
  </si>
  <si>
    <t>Where.Select.OrderBy.Take</t>
  </si>
  <si>
    <t>.Where(...).Map(...).OrderDescending.Take(2)</t>
  </si>
  <si>
    <t>60,40</t>
  </si>
  <si>
    <t>Sequence ops</t>
  </si>
  <si>
    <t>Distinct.Prepend.Append.Reverse.Skip</t>
  </si>
  <si>
    <t>values.Distinct.Prepend(1).Append(4).Reverse.Skip(1)</t>
  </si>
  <si>
    <t>3,2,1</t>
  </si>
  <si>
    <t>Terminals</t>
  </si>
  <si>
    <t>Sum/Average/Min/Max</t>
  </si>
  <si>
    <t>Range(1, 5).Sum / Average / Min / Max</t>
  </si>
  <si>
    <t>15|3|1|5</t>
  </si>
  <si>
    <t>ForEach Action</t>
  </si>
  <si>
    <t>values.ForEach(action)</t>
  </si>
  <si>
    <t>values.ForEach ROneCOne.Action(...)</t>
  </si>
  <si>
    <t>User-defined class LINQ</t>
  </si>
  <si>
    <t>Typed object queries with contextual members, inferred predicates, and native VBA sugar.</t>
  </si>
  <si>
    <t>Typed class list</t>
  </si>
  <si>
    <t>List&lt;DemoCustomer&gt;</t>
  </si>
  <si>
    <t>Set customers = ROneCOne.ListFrom(ada, grace, katherine)</t>
  </si>
  <si>
    <t>List&lt;DemoCustomer&gt;:4</t>
  </si>
  <si>
    <t>Deferred class Where</t>
  </si>
  <si>
    <t>customers.Where(c =&gt; c.Age &gt;= 40)</t>
  </si>
  <si>
    <t>Set experienced = customers.Where("Age").AtLeast(40)
customers.Add margaret</t>
  </si>
  <si>
    <t>3|Margaret</t>
  </si>
  <si>
    <t>Projection + ordering</t>
  </si>
  <si>
    <t>.Select(c =&gt; c.Name).OrderBy(name =&gt; name)</t>
  </si>
  <si>
    <t>Set names = experienced.Map("CustomerName", vbString).Order.ToList</t>
  </si>
  <si>
    <t>Grace|Katherine|Margaret</t>
  </si>
  <si>
    <t>Composite ordering</t>
  </si>
  <si>
    <t>.OrderBy(c =&gt; c.City).ThenByDescending(c =&gt; c.Age).First()</t>
  </si>
  <si>
    <t>Set first = customers.OrderBy("City").ThenByDescending("Age").First</t>
  </si>
  <si>
    <t>Margaret|45</t>
  </si>
  <si>
    <t>Quantifiers</t>
  </si>
  <si>
    <t>.Any(city) / .All(age)</t>
  </si>
  <si>
    <t>customers.Exists(customers.Condition("City").EqualTo("London"))</t>
  </si>
  <si>
    <t>True|False</t>
  </si>
  <si>
    <t>Aggregate projection</t>
  </si>
  <si>
    <t>.Where(age).Average(c =&gt; c.Age)</t>
  </si>
  <si>
    <t>averageAge = experienced.Average("Age")</t>
  </si>
  <si>
    <t>Inferred predicate</t>
  </si>
  <si>
    <t>customers.Where(IsExperienced)</t>
  </si>
  <si>
    <t>customers.WhereMethod("CollectionsDemoUsage.IsExperiencedCustomer")</t>
  </si>
  <si>
    <t>3|Func&lt;DemoCustomer, Boolean&gt;</t>
  </si>
  <si>
    <t>String conditions</t>
  </si>
  <si>
    <t>StartsWith / Contains</t>
  </si>
  <si>
    <t>.Where("CustomerName").StartsWith("G")
.Where("CustomerName").Contains("ther")</t>
  </si>
  <si>
    <t>1|1</t>
  </si>
  <si>
    <t>Distinct keys</t>
  </si>
  <si>
    <t>.DistinctBy(c =&gt; c.City)</t>
  </si>
  <si>
    <t>customers.DistinctBy("City")</t>
  </si>
  <si>
    <t>Native bang member</t>
  </si>
  <si>
    <t>c =&gt; c.Age &gt;= 40</t>
  </si>
  <si>
    <t>With customers
  Set q = .Where(!Age.AtLeast(40))
End With</t>
  </si>
  <si>
    <t>Safe object path</t>
  </si>
  <si>
    <t>c.Manager?.Age &gt;= 40</t>
  </si>
  <si>
    <t>.Where("Manager?.Age").AtLeast(40)</t>
  </si>
  <si>
    <t>1|2</t>
  </si>
  <si>
    <t>Collection membership</t>
  </si>
  <si>
    <t>allowedCities.Contains(c.City)</t>
  </si>
  <si>
    <t>.Where("City").IsIn(allowedCities)
.Where(allowedCities.Contains(customers!City))</t>
  </si>
  <si>
    <t>2|2</t>
  </si>
  <si>
    <t>Ignore case</t>
  </si>
  <si>
    <t>StringComparison.OrdinalIgnoreCase</t>
  </si>
  <si>
    <t>.Where("City").EqualToIgnoreCase("LONDON")
.Where("CustomerName").ContainsIgnoreCase("THER")</t>
  </si>
  <si>
    <t>Predicate terminals</t>
  </si>
  <si>
    <t>Count(predicate) / Single() / None()</t>
  </si>
  <si>
    <t>customers.Count(agePredicate)
customers.SingleItem(customers.Match("CustomerName", "Grace"))</t>
  </si>
  <si>
    <t>3|Grace|True</t>
  </si>
  <si>
    <t>Nested quantifiers</t>
  </si>
  <si>
    <t>Reports.Any / All / !Any</t>
  </si>
  <si>
    <t>customers.WhereAny("Reports", reportPredicate)
customers.WhereAll("Reports", allPredicate)
customers.WhereNone("Reports", reportPredicate)</t>
  </si>
  <si>
    <t>2|4|2</t>
  </si>
  <si>
    <t>Custom comparers</t>
  </si>
  <si>
    <t>IEqualityComparer&lt;T&gt; / IComparer&lt;T&gt;</t>
  </si>
  <si>
    <t>strings.Distinct(equalityComparer)
strings.Contains("ada", equalityComparer)
strings.Order(comparer)</t>
  </si>
  <si>
    <t>2|True|Ada</t>
  </si>
  <si>
    <t>Boolean algebra</t>
  </si>
  <si>
    <t>predicate &amp;&amp; predicate / predicate || predicate</t>
  </si>
  <si>
    <t>customers.Where(agePredicate.Both(cityPredicate))
customers.Where(london.Either(cleveland))</t>
  </si>
  <si>
    <t>Typed query benchmark</t>
  </si>
  <si>
    <t>10,000 elements in one Excel process; no worker Excel instances are launched.</t>
  </si>
  <si>
    <t>Scenario</t>
  </si>
  <si>
    <t>Source elements</t>
  </si>
  <si>
    <t>Seconds</t>
  </si>
  <si>
    <t>Result elements</t>
  </si>
  <si>
    <t>Elements / second</t>
  </si>
  <si>
    <t>Range.Where.ToList</t>
  </si>
  <si>
    <t>Repeated object member Where</t>
  </si>
  <si>
    <t>OrderBy.ThenByDescending.ToList</t>
  </si>
  <si>
    <t>Release gates: 10,000-element filtering and composite ordering stay bounded in one Excel process.</t>
  </si>
  <si>
    <t>Collection architecture</t>
  </si>
  <si>
    <t>The same ROneCOne class represents typed storage and immutable deferred query nodes.</t>
  </si>
  <si>
    <t>Invariant</t>
  </si>
  <si>
    <t>Decision</t>
  </si>
  <si>
    <t>Behavior</t>
  </si>
  <si>
    <t>Dependencies</t>
  </si>
  <si>
    <t>Concrete T</t>
  </si>
  <si>
    <t>VarType or exact class name</t>
  </si>
  <si>
    <t>Reject before mutation</t>
  </si>
  <si>
    <t>ENFORCED</t>
  </si>
  <si>
    <t>User classes</t>
  </si>
  <si>
    <t>ListFrom or prototype token</t>
  </si>
  <si>
    <t>Exact class identity</t>
  </si>
  <si>
    <t>Deferred LINQ</t>
  </si>
  <si>
    <t>Immutable query nodes</t>
  </si>
  <si>
    <t>Evaluate on consumption</t>
  </si>
  <si>
    <t>Syntax sugar</t>
  </si>
  <si>
    <t>Contextual members + native bang</t>
  </si>
  <si>
    <t>Canonical API remains available</t>
  </si>
  <si>
    <t>Predicate algebra</t>
  </si>
  <si>
    <t>Composable immutable nodes</t>
  </si>
  <si>
    <t>Membership, null-safe paths, quantifiers</t>
  </si>
  <si>
    <t>Stable ordering</t>
  </si>
  <si>
    <t>OrderBy + ThenBy chain</t>
  </si>
  <si>
    <t>Cached keys and O(n log n) merge sort</t>
  </si>
  <si>
    <t>Enumeration</t>
  </si>
  <si>
    <t>Persistent list mirror</t>
  </si>
  <si>
    <t>Nested For Each works</t>
  </si>
  <si>
    <t>One process</t>
  </si>
  <si>
    <t>In-process execution</t>
  </si>
  <si>
    <t>Never launches Excel</t>
  </si>
  <si>
    <t>Privacy</t>
  </si>
  <si>
    <t>No transmission</t>
  </si>
  <si>
    <t>Workbook data stays local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</si>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</sst>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yyyy\-mm\-dd\ hh:mm:ss"/>
    <numFmt numFmtId="165" formatCode="0.0"/>
    <numFmt numFmtId="166" formatCode="0.000000"/>
  </numFmts>
  <fonts count="10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  <font>
      <sz val="11"/>
      <color rgb="FF9A4A00"/>
      <name val="Carlito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4" xfId="0" applyBorder="1"/>
    <xf numFmtId="0" fontId="0" fillId="0" borderId="4" xfId="0" applyBorder="1" applyAlignment="1">
      <alignment wrapText="1"/>
    </xf>
    <xf numFmtId="0" fontId="3" fillId="5" borderId="4" xfId="0" applyFont="1" applyFill="1" applyBorder="1" applyAlignment="1">
      <alignment horizontal="center" wrapText="1"/>
    </xf>
    <xf numFmtId="0" fontId="4" fillId="0" borderId="4" xfId="0" applyFont="1" applyBorder="1"/>
    <xf numFmtId="0" fontId="5" fillId="3" borderId="4" xfId="0" applyFont="1" applyFill="1" applyBorder="1" applyAlignment="1">
      <alignment horizontal="center"/>
    </xf>
    <xf numFmtId="0" fontId="3" fillId="2" borderId="4" xfId="0" applyFont="1" applyFill="1" applyBorder="1" applyAlignment="1">
      <alignment wrapText="1"/>
    </xf>
    <xf numFmtId="164" fontId="0" fillId="0" borderId="4" xfId="0" applyNumberFormat="1" applyBorder="1" applyAlignment="1">
      <alignment wrapText="1"/>
    </xf>
    <xf numFmtId="0" fontId="6" fillId="3" borderId="4" xfId="0" applyFont="1" applyFill="1" applyBorder="1" applyAlignment="1">
      <alignment wrapText="1"/>
    </xf>
    <xf numFmtId="0" fontId="0" fillId="0" borderId="4" xfId="0" applyBorder="1" applyAlignment="1">
      <alignment vertical="top" wrapText="1"/>
    </xf>
    <xf numFmtId="0" fontId="0" fillId="0" borderId="4" xfId="0" applyBorder="1" applyAlignment="1">
      <alignment vertical="top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7" borderId="4" xfId="0" applyFont="1" applyFill="1" applyBorder="1" applyAlignment="1">
      <alignment vertical="top" wrapText="1"/>
    </xf>
    <xf numFmtId="165" fontId="0" fillId="0" borderId="4" xfId="0" applyNumberFormat="1" applyBorder="1" applyAlignment="1">
      <alignment vertical="top" wrapText="1"/>
    </xf>
    <xf numFmtId="3" fontId="0" fillId="0" borderId="4" xfId="0" applyNumberFormat="1" applyBorder="1"/>
    <xf numFmtId="166" fontId="0" fillId="0" borderId="4" xfId="0" applyNumberFormat="1" applyBorder="1"/>
    <xf numFmtId="0" fontId="6" fillId="3" borderId="4" xfId="0" applyFont="1" applyFill="1" applyBorder="1" applyAlignment="1">
      <alignment vertical="top" wrapText="1"/>
    </xf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/>
    <xf numFmtId="0" fontId="3" fillId="4" borderId="2" xfId="0" applyFont="1" applyFill="1" applyBorder="1"/>
    <xf numFmtId="0" fontId="3" fillId="4" borderId="3" xfId="0" applyFont="1" applyFill="1" applyBorder="1"/>
    <xf numFmtId="0" fontId="7" fillId="6" borderId="0" xfId="0" applyFont="1" applyFill="1" applyAlignment="1">
      <alignment wrapText="1"/>
    </xf>
    <xf numFmtId="0" fontId="9" fillId="6" borderId="0" xfId="0" applyFont="1" applyFill="1" applyAlignment="1">
      <alignment wrapText="1"/>
    </xf>
  </cellXfs>
  <cellStyles count="1">
    <cellStyle name="Normal" xfId="0" builtinId="0"/>
  </cellStyles>
  <dxfs count="4">
    <dxf>
      <font>
        <b/>
        <color rgb="FFB91C1C"/>
      </font>
      <fill>
        <patternFill patternType="solid">
          <bgColor rgb="FFFEE2E2"/>
        </patternFill>
      </fill>
    </dxf>
    <dxf>
      <font>
        <b/>
        <color rgb="FF15803D"/>
      </font>
      <fill>
        <patternFill patternType="solid">
          <bgColor rgb="FFDCFCE7"/>
        </patternFill>
      </fill>
    </dxf>
    <dxf>
      <font>
        <b/>
        <color rgb="FFB91C1C"/>
      </font>
      <fill>
        <patternFill patternType="solid">
          <bgColor rgb="FFFEE2E2"/>
        </patternFill>
      </fill>
    </dxf>
    <dxf>
      <font>
        <b/>
        <color rgb="FF15803D"/>
      </font>
      <fill>
        <patternFill patternType="solid">
          <bgColor rgb="FFDCFCE7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22/11/relationships/FeaturePropertyBag" Target="featurePropertyBag/featurePropertyBag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tabSelected="1" workbookViewId="0">
      <selection sqref="A1:H2"/>
    </sheetView>
  </sheetViews>
  <sheetFormatPr defaultRowHeight="14.25"/>
  <cols>
    <col min="1" max="1" width="16" customWidth="1"/>
    <col min="2" max="2" width="25" customWidth="1"/>
    <col min="3" max="4" width="28" customWidth="1"/>
    <col min="5" max="5" width="3" customWidth="1"/>
    <col min="6" max="6" width="22" customWidth="1"/>
    <col min="7" max="8" width="20" customWidth="1"/>
  </cols>
  <sheetData>
    <row r="1" spans="1:8" ht="24" customHeight="1">
      <c r="A1" s="16" t="s">
        <v>0</v>
      </c>
      <c r="B1" s="16"/>
      <c r="C1" s="16"/>
      <c r="D1" s="16"/>
      <c r="E1" s="16"/>
      <c r="F1" s="16"/>
      <c r="G1" s="16"/>
      <c r="H1" s="16"/>
    </row>
    <row r="2" spans="1:8" ht="24" customHeight="1">
      <c r="A2" s="16"/>
      <c r="B2" s="16"/>
      <c r="C2" s="16"/>
      <c r="D2" s="16"/>
      <c r="E2" s="16"/>
      <c r="F2" s="16"/>
      <c r="G2" s="16"/>
      <c r="H2" s="16"/>
    </row>
    <row r="3" spans="1:8" ht="24" customHeight="1">
      <c r="A3" s="17" t="s">
        <v>1</v>
      </c>
      <c r="B3" s="17"/>
      <c r="C3" s="17"/>
      <c r="D3" s="17"/>
      <c r="E3" s="17"/>
      <c r="F3" s="17"/>
      <c r="G3" s="17"/>
      <c r="H3" s="17"/>
    </row>
    <row r="5" spans="1:8" ht="15">
      <c r="A5" s="18" t="s">
        <v>2</v>
      </c>
      <c r="B5" s="19"/>
      <c r="C5" s="19"/>
      <c r="D5" s="20"/>
      <c r="F5" s="18" t="s">
        <v>3</v>
      </c>
      <c r="G5" s="19"/>
      <c r="H5" s="20"/>
    </row>
    <row r="6" spans="1:8" ht="27.95" customHeight="1">
      <c r="A6" s="3" t="s">
        <v>4</v>
      </c>
      <c r="B6" s="2" t="s">
        <v>5</v>
      </c>
      <c r="C6" s="2" t="s">
        <v>6</v>
      </c>
      <c r="D6" s="2"/>
      <c r="F6" s="4" t="s">
        <v>7</v>
      </c>
      <c r="G6" s="5">
        <f>COUNTIF(Examples!F6:F13,"PASS")+COUNTIF('User Class LINQ'!F6:F22,"PASS")</f>
        <v>25</v>
      </c>
    </row>
    <row r="7" spans="1:8" ht="27.95" customHeight="1">
      <c r="A7" s="3" t="s">
        <v>8</v>
      </c>
      <c r="B7" s="2" t="s">
        <v>9</v>
      </c>
      <c r="C7" s="2" t="s">
        <v>10</v>
      </c>
      <c r="D7" s="2"/>
      <c r="F7" s="4" t="s">
        <v>11</v>
      </c>
      <c r="G7" s="5">
        <f>COUNTA(Examples!A6:A13)+COUNTA('User Class LINQ'!A6:A22)</f>
        <v>25</v>
      </c>
    </row>
    <row r="8" spans="1:8" ht="27.95" customHeight="1">
      <c r="A8" s="3" t="s">
        <v>12</v>
      </c>
      <c r="B8" s="2" t="s">
        <v>13</v>
      </c>
      <c r="C8" s="2" t="s">
        <v>14</v>
      </c>
      <c r="D8" s="2"/>
      <c r="F8" s="4" t="s">
        <v>15</v>
      </c>
      <c r="G8" s="1" t="s">
        <v>16</v>
      </c>
    </row>
    <row r="9" spans="1:8" ht="27.95" customHeight="1">
      <c r="A9" s="3" t="s">
        <v>17</v>
      </c>
      <c r="B9" s="2" t="s">
        <v>18</v>
      </c>
      <c r="C9" s="2" t="s">
        <v>19</v>
      </c>
      <c r="D9" s="2"/>
      <c r="F9" s="4" t="s">
        <v>20</v>
      </c>
      <c r="G9" s="1">
        <v>1</v>
      </c>
    </row>
    <row r="10" spans="1:8" ht="27.95" customHeight="1">
      <c r="F10" s="4" t="s">
        <v>21</v>
      </c>
      <c r="G10" s="1">
        <v>0</v>
      </c>
    </row>
    <row r="11" spans="1:8" ht="15">
      <c r="A11" s="6" t="s">
        <v>22</v>
      </c>
      <c r="B11" s="6" t="s">
        <v>23</v>
      </c>
    </row>
    <row r="12" spans="1:8">
      <c r="A12" s="2" t="s">
        <v>24</v>
      </c>
      <c r="B12" s="7">
        <v>46222.562152777777</v>
      </c>
    </row>
    <row r="13" spans="1:8" ht="15">
      <c r="A13" s="2" t="s">
        <v>25</v>
      </c>
      <c r="B13" s="8" t="s">
        <v>175</v>
      </c>
    </row>
    <row r="14" spans="1:8">
      <c r="A14" s="2" t="s">
        <v>26</v>
      </c>
      <c r="B14" s="2"/>
    </row>
    <row r="16" spans="1:8" ht="15">
      <c r="A16" s="21" t="s">
        <v>27</v>
      </c>
      <c r="B16" s="21"/>
      <c r="C16" s="21"/>
      <c r="D16" s="21"/>
      <c r="E16" s="21"/>
      <c r="F16" s="21"/>
      <c r="G16" s="21"/>
      <c r="H16" s="21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3"/>
  <sheetViews>
    <sheetView showGridLines="0" workbookViewId="0"/>
  </sheetViews>
  <sheetFormatPr defaultRowHeight="14.25"/>
  <cols>
    <col min="1" max="1" width="19" customWidth="1"/>
    <col min="2" max="2" width="27" customWidth="1"/>
    <col min="3" max="3" width="54" customWidth="1"/>
    <col min="4" max="4" width="25" customWidth="1"/>
    <col min="5" max="5" width="26" customWidth="1"/>
    <col min="6" max="6" width="16" customWidth="1"/>
  </cols>
  <sheetData>
    <row r="1" spans="1:6" ht="24" customHeight="1">
      <c r="A1" s="16" t="s">
        <v>28</v>
      </c>
      <c r="B1" s="16"/>
      <c r="C1" s="16"/>
      <c r="D1" s="16"/>
      <c r="E1" s="16"/>
      <c r="F1" s="16"/>
    </row>
    <row r="2" spans="1:6" ht="24" customHeight="1">
      <c r="A2" s="16"/>
      <c r="B2" s="16"/>
      <c r="C2" s="16"/>
      <c r="D2" s="16"/>
      <c r="E2" s="16"/>
      <c r="F2" s="16"/>
    </row>
    <row r="3" spans="1:6" ht="24" customHeight="1">
      <c r="A3" s="17" t="s">
        <v>29</v>
      </c>
      <c r="B3" s="17"/>
      <c r="C3" s="17"/>
      <c r="D3" s="17"/>
      <c r="E3" s="17"/>
      <c r="F3" s="17"/>
    </row>
    <row r="5" spans="1:6" ht="15">
      <c r="A5" s="6" t="s">
        <v>30</v>
      </c>
      <c r="B5" s="6" t="s">
        <v>31</v>
      </c>
      <c r="C5" s="6" t="s">
        <v>32</v>
      </c>
      <c r="D5" s="6" t="s">
        <v>33</v>
      </c>
      <c r="E5" s="6" t="s">
        <v>34</v>
      </c>
      <c r="F5" s="6" t="s">
        <v>25</v>
      </c>
    </row>
    <row r="6" spans="1:6" ht="54" customHeight="1">
      <c r="A6" s="9" t="s">
        <v>35</v>
      </c>
      <c r="B6" s="9" t="s">
        <v>36</v>
      </c>
      <c r="C6" s="11" t="s">
        <v>37</v>
      </c>
      <c r="D6" s="9" t="s">
        <v>38</v>
      </c>
      <c r="E6" s="9" t="s">
        <v>38</v>
      </c>
      <c r="F6" s="9" t="str">
        <f t="shared" ref="F6:F13" si="0">IF(E6="","NOT RUN",IF(E6=D6,"PASS","CHECK"))</f>
        <v>PASS</v>
      </c>
    </row>
    <row r="7" spans="1:6" ht="54" customHeight="1">
      <c r="A7" s="9" t="s">
        <v>39</v>
      </c>
      <c r="B7" s="9" t="s">
        <v>40</v>
      </c>
      <c r="C7" s="11" t="s">
        <v>41</v>
      </c>
      <c r="D7" s="10" t="b">
        <v>1</v>
      </c>
      <c r="E7" s="9" t="b">
        <v>1</v>
      </c>
      <c r="F7" s="9" t="str">
        <f t="shared" si="0"/>
        <v>PASS</v>
      </c>
    </row>
    <row r="8" spans="1:6" ht="54" customHeight="1">
      <c r="A8" s="9" t="s">
        <v>42</v>
      </c>
      <c r="B8" s="9" t="s">
        <v>43</v>
      </c>
      <c r="C8" s="11" t="s">
        <v>44</v>
      </c>
      <c r="D8" s="9" t="s">
        <v>45</v>
      </c>
      <c r="E8" s="9" t="s">
        <v>45</v>
      </c>
      <c r="F8" s="9" t="str">
        <f t="shared" si="0"/>
        <v>PASS</v>
      </c>
    </row>
    <row r="9" spans="1:6" ht="54" customHeight="1">
      <c r="A9" s="9" t="s">
        <v>46</v>
      </c>
      <c r="B9" s="9" t="s">
        <v>47</v>
      </c>
      <c r="C9" s="11" t="s">
        <v>48</v>
      </c>
      <c r="D9" s="9" t="s">
        <v>49</v>
      </c>
      <c r="E9" s="9" t="s">
        <v>49</v>
      </c>
      <c r="F9" s="9" t="str">
        <f t="shared" si="0"/>
        <v>PASS</v>
      </c>
    </row>
    <row r="10" spans="1:6" ht="54" customHeight="1">
      <c r="A10" s="9" t="s">
        <v>50</v>
      </c>
      <c r="B10" s="9" t="s">
        <v>51</v>
      </c>
      <c r="C10" s="11" t="s">
        <v>52</v>
      </c>
      <c r="D10" s="9" t="s">
        <v>53</v>
      </c>
      <c r="E10" s="9" t="s">
        <v>53</v>
      </c>
      <c r="F10" s="9" t="str">
        <f t="shared" si="0"/>
        <v>PASS</v>
      </c>
    </row>
    <row r="11" spans="1:6" ht="54" customHeight="1">
      <c r="A11" s="9" t="s">
        <v>54</v>
      </c>
      <c r="B11" s="9" t="s">
        <v>55</v>
      </c>
      <c r="C11" s="11" t="s">
        <v>56</v>
      </c>
      <c r="D11" s="9" t="s">
        <v>57</v>
      </c>
      <c r="E11" s="9" t="s">
        <v>57</v>
      </c>
      <c r="F11" s="9" t="str">
        <f t="shared" si="0"/>
        <v>PASS</v>
      </c>
    </row>
    <row r="12" spans="1:6" ht="54" customHeight="1">
      <c r="A12" s="9" t="s">
        <v>58</v>
      </c>
      <c r="B12" s="9" t="s">
        <v>59</v>
      </c>
      <c r="C12" s="11" t="s">
        <v>60</v>
      </c>
      <c r="D12" s="9" t="s">
        <v>61</v>
      </c>
      <c r="E12" s="9" t="s">
        <v>61</v>
      </c>
      <c r="F12" s="9" t="str">
        <f t="shared" si="0"/>
        <v>PASS</v>
      </c>
    </row>
    <row r="13" spans="1:6" ht="54" customHeight="1">
      <c r="A13" s="9" t="s">
        <v>62</v>
      </c>
      <c r="B13" s="9" t="s">
        <v>63</v>
      </c>
      <c r="C13" s="11" t="s">
        <v>64</v>
      </c>
      <c r="D13" s="9">
        <v>10</v>
      </c>
      <c r="E13" s="9">
        <v>10</v>
      </c>
      <c r="F13" s="9" t="str">
        <f t="shared" si="0"/>
        <v>PASS</v>
      </c>
    </row>
  </sheetData>
  <mergeCells count="2">
    <mergeCell ref="A1:F2"/>
    <mergeCell ref="A3:F3"/>
  </mergeCells>
  <conditionalFormatting sqref="F6:F13">
    <cfRule type="containsText" dxfId="3" priority="1" operator="containsText" text="PASS"/>
    <cfRule type="containsText" dxfId="2" priority="2" operator="containsText" text="CHECK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22"/>
  <sheetViews>
    <sheetView showGridLines="0" workbookViewId="0"/>
  </sheetViews>
  <sheetFormatPr defaultRowHeight="14.25"/>
  <cols>
    <col min="1" max="1" width="23" customWidth="1"/>
    <col min="2" max="2" width="36" customWidth="1"/>
    <col min="3" max="3" width="58" customWidth="1"/>
    <col min="4" max="4" width="31" customWidth="1"/>
    <col min="5" max="5" width="25" customWidth="1"/>
    <col min="6" max="6" width="16" customWidth="1"/>
  </cols>
  <sheetData>
    <row r="1" spans="1:6" ht="24" customHeight="1">
      <c r="A1" s="16" t="s">
        <v>65</v>
      </c>
      <c r="B1" s="16"/>
      <c r="C1" s="16"/>
      <c r="D1" s="16"/>
      <c r="E1" s="16"/>
      <c r="F1" s="16"/>
    </row>
    <row r="2" spans="1:6" ht="24" customHeight="1">
      <c r="A2" s="16"/>
      <c r="B2" s="16"/>
      <c r="C2" s="16"/>
      <c r="D2" s="16"/>
      <c r="E2" s="16"/>
      <c r="F2" s="16"/>
    </row>
    <row r="3" spans="1:6" ht="24" customHeight="1">
      <c r="A3" s="17" t="s">
        <v>66</v>
      </c>
      <c r="B3" s="17"/>
      <c r="C3" s="17"/>
      <c r="D3" s="17"/>
      <c r="E3" s="17"/>
      <c r="F3" s="17"/>
    </row>
    <row r="5" spans="1:6" ht="15">
      <c r="A5" s="6" t="s">
        <v>30</v>
      </c>
      <c r="B5" s="6" t="s">
        <v>31</v>
      </c>
      <c r="C5" s="6" t="s">
        <v>32</v>
      </c>
      <c r="D5" s="6" t="s">
        <v>33</v>
      </c>
      <c r="E5" s="6" t="s">
        <v>34</v>
      </c>
      <c r="F5" s="6" t="s">
        <v>25</v>
      </c>
    </row>
    <row r="6" spans="1:6" ht="62.1" customHeight="1">
      <c r="A6" s="9" t="s">
        <v>67</v>
      </c>
      <c r="B6" s="9" t="s">
        <v>68</v>
      </c>
      <c r="C6" s="11" t="s">
        <v>69</v>
      </c>
      <c r="D6" s="9" t="s">
        <v>70</v>
      </c>
      <c r="E6" s="9" t="s">
        <v>70</v>
      </c>
      <c r="F6" s="9" t="str">
        <f t="shared" ref="F6:F22" si="0">IF(E6="","NOT RUN",IF(E6=D6,"PASS","CHECK"))</f>
        <v>PASS</v>
      </c>
    </row>
    <row r="7" spans="1:6" ht="62.1" customHeight="1">
      <c r="A7" s="9" t="s">
        <v>71</v>
      </c>
      <c r="B7" s="9" t="s">
        <v>72</v>
      </c>
      <c r="C7" s="11" t="s">
        <v>73</v>
      </c>
      <c r="D7" s="9" t="s">
        <v>74</v>
      </c>
      <c r="E7" s="9" t="s">
        <v>74</v>
      </c>
      <c r="F7" s="9" t="str">
        <f t="shared" si="0"/>
        <v>PASS</v>
      </c>
    </row>
    <row r="8" spans="1:6" ht="62.1" customHeight="1">
      <c r="A8" s="9" t="s">
        <v>75</v>
      </c>
      <c r="B8" s="9" t="s">
        <v>76</v>
      </c>
      <c r="C8" s="11" t="s">
        <v>77</v>
      </c>
      <c r="D8" s="9" t="s">
        <v>78</v>
      </c>
      <c r="E8" s="9" t="s">
        <v>78</v>
      </c>
      <c r="F8" s="9" t="str">
        <f t="shared" si="0"/>
        <v>PASS</v>
      </c>
    </row>
    <row r="9" spans="1:6" ht="62.1" customHeight="1">
      <c r="A9" s="9" t="s">
        <v>79</v>
      </c>
      <c r="B9" s="9" t="s">
        <v>80</v>
      </c>
      <c r="C9" s="11" t="s">
        <v>81</v>
      </c>
      <c r="D9" s="9" t="s">
        <v>82</v>
      </c>
      <c r="E9" s="9" t="s">
        <v>82</v>
      </c>
      <c r="F9" s="9" t="str">
        <f t="shared" si="0"/>
        <v>PASS</v>
      </c>
    </row>
    <row r="10" spans="1:6" ht="62.1" customHeight="1">
      <c r="A10" s="9" t="s">
        <v>83</v>
      </c>
      <c r="B10" s="9" t="s">
        <v>84</v>
      </c>
      <c r="C10" s="11" t="s">
        <v>85</v>
      </c>
      <c r="D10" s="9" t="s">
        <v>86</v>
      </c>
      <c r="E10" s="9" t="s">
        <v>86</v>
      </c>
      <c r="F10" s="9" t="str">
        <f t="shared" si="0"/>
        <v>PASS</v>
      </c>
    </row>
    <row r="11" spans="1:6" ht="62.1" customHeight="1">
      <c r="A11" s="9" t="s">
        <v>87</v>
      </c>
      <c r="B11" s="9" t="s">
        <v>88</v>
      </c>
      <c r="C11" s="11" t="s">
        <v>89</v>
      </c>
      <c r="D11" s="12">
        <v>44.7</v>
      </c>
      <c r="E11" s="12">
        <v>44.7</v>
      </c>
      <c r="F11" s="9" t="str">
        <f t="shared" si="0"/>
        <v>PASS</v>
      </c>
    </row>
    <row r="12" spans="1:6" ht="62.1" customHeight="1">
      <c r="A12" s="9" t="s">
        <v>90</v>
      </c>
      <c r="B12" s="9" t="s">
        <v>91</v>
      </c>
      <c r="C12" s="11" t="s">
        <v>92</v>
      </c>
      <c r="D12" s="9" t="s">
        <v>93</v>
      </c>
      <c r="E12" s="9" t="s">
        <v>93</v>
      </c>
      <c r="F12" s="9" t="str">
        <f t="shared" si="0"/>
        <v>PASS</v>
      </c>
    </row>
    <row r="13" spans="1:6" ht="62.1" customHeight="1">
      <c r="A13" s="9" t="s">
        <v>94</v>
      </c>
      <c r="B13" s="9" t="s">
        <v>95</v>
      </c>
      <c r="C13" s="11" t="s">
        <v>96</v>
      </c>
      <c r="D13" s="9" t="s">
        <v>97</v>
      </c>
      <c r="E13" s="9" t="s">
        <v>97</v>
      </c>
      <c r="F13" s="9" t="str">
        <f t="shared" si="0"/>
        <v>PASS</v>
      </c>
    </row>
    <row r="14" spans="1:6" ht="62.1" customHeight="1">
      <c r="A14" s="9" t="s">
        <v>98</v>
      </c>
      <c r="B14" s="9" t="s">
        <v>99</v>
      </c>
      <c r="C14" s="11" t="s">
        <v>100</v>
      </c>
      <c r="D14" s="9">
        <v>3</v>
      </c>
      <c r="E14" s="9">
        <v>3</v>
      </c>
      <c r="F14" s="9" t="str">
        <f t="shared" si="0"/>
        <v>PASS</v>
      </c>
    </row>
    <row r="15" spans="1:6" ht="62.1" customHeight="1">
      <c r="A15" s="9" t="s">
        <v>101</v>
      </c>
      <c r="B15" s="9" t="s">
        <v>102</v>
      </c>
      <c r="C15" s="11" t="s">
        <v>103</v>
      </c>
      <c r="D15" s="9" t="s">
        <v>78</v>
      </c>
      <c r="E15" s="9" t="s">
        <v>78</v>
      </c>
      <c r="F15" s="9" t="str">
        <f t="shared" si="0"/>
        <v>PASS</v>
      </c>
    </row>
    <row r="16" spans="1:6" ht="62.1" customHeight="1">
      <c r="A16" s="9" t="s">
        <v>104</v>
      </c>
      <c r="B16" s="9" t="s">
        <v>105</v>
      </c>
      <c r="C16" s="11" t="s">
        <v>106</v>
      </c>
      <c r="D16" s="9" t="s">
        <v>107</v>
      </c>
      <c r="E16" s="9" t="s">
        <v>107</v>
      </c>
      <c r="F16" s="9" t="str">
        <f t="shared" si="0"/>
        <v>PASS</v>
      </c>
    </row>
    <row r="17" spans="1:6" ht="62.1" customHeight="1">
      <c r="A17" s="9" t="s">
        <v>108</v>
      </c>
      <c r="B17" s="9" t="s">
        <v>109</v>
      </c>
      <c r="C17" s="11" t="s">
        <v>110</v>
      </c>
      <c r="D17" s="9" t="s">
        <v>111</v>
      </c>
      <c r="E17" s="9" t="s">
        <v>111</v>
      </c>
      <c r="F17" s="9" t="str">
        <f t="shared" si="0"/>
        <v>PASS</v>
      </c>
    </row>
    <row r="18" spans="1:6" ht="62.1" customHeight="1">
      <c r="A18" s="9" t="s">
        <v>112</v>
      </c>
      <c r="B18" s="9" t="s">
        <v>113</v>
      </c>
      <c r="C18" s="11" t="s">
        <v>114</v>
      </c>
      <c r="D18" s="9" t="s">
        <v>97</v>
      </c>
      <c r="E18" s="9" t="s">
        <v>97</v>
      </c>
      <c r="F18" s="9" t="str">
        <f t="shared" si="0"/>
        <v>PASS</v>
      </c>
    </row>
    <row r="19" spans="1:6" ht="62.1" customHeight="1">
      <c r="A19" s="9" t="s">
        <v>115</v>
      </c>
      <c r="B19" s="9" t="s">
        <v>116</v>
      </c>
      <c r="C19" s="11" t="s">
        <v>117</v>
      </c>
      <c r="D19" s="9" t="s">
        <v>118</v>
      </c>
      <c r="E19" s="9" t="s">
        <v>118</v>
      </c>
      <c r="F19" s="9" t="str">
        <f t="shared" si="0"/>
        <v>PASS</v>
      </c>
    </row>
    <row r="20" spans="1:6" ht="62.1" customHeight="1">
      <c r="A20" s="9" t="s">
        <v>119</v>
      </c>
      <c r="B20" s="9" t="s">
        <v>120</v>
      </c>
      <c r="C20" s="11" t="s">
        <v>121</v>
      </c>
      <c r="D20" s="9" t="s">
        <v>122</v>
      </c>
      <c r="E20" s="9" t="s">
        <v>122</v>
      </c>
      <c r="F20" s="9" t="str">
        <f t="shared" si="0"/>
        <v>PASS</v>
      </c>
    </row>
    <row r="21" spans="1:6" ht="62.1" customHeight="1">
      <c r="A21" s="9" t="s">
        <v>123</v>
      </c>
      <c r="B21" s="9" t="s">
        <v>124</v>
      </c>
      <c r="C21" s="11" t="s">
        <v>125</v>
      </c>
      <c r="D21" s="9" t="s">
        <v>126</v>
      </c>
      <c r="E21" s="9" t="s">
        <v>126</v>
      </c>
      <c r="F21" s="9" t="str">
        <f t="shared" si="0"/>
        <v>PASS</v>
      </c>
    </row>
    <row r="22" spans="1:6" ht="62.1" customHeight="1">
      <c r="A22" s="9" t="s">
        <v>127</v>
      </c>
      <c r="B22" s="9" t="s">
        <v>128</v>
      </c>
      <c r="C22" s="11" t="s">
        <v>129</v>
      </c>
      <c r="D22" s="9" t="s">
        <v>111</v>
      </c>
      <c r="E22" s="9" t="s">
        <v>111</v>
      </c>
      <c r="F22" s="9" t="str">
        <f t="shared" si="0"/>
        <v>PASS</v>
      </c>
    </row>
  </sheetData>
  <mergeCells count="2">
    <mergeCell ref="A1:F2"/>
    <mergeCell ref="A3:F3"/>
  </mergeCells>
  <conditionalFormatting sqref="F6:F22">
    <cfRule type="containsText" dxfId="1" priority="1" operator="containsText" text="PASS"/>
    <cfRule type="containsText" dxfId="0" priority="2" operator="containsText" text="CHECK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0"/>
  <sheetViews>
    <sheetView showGridLines="0" workbookViewId="0"/>
  </sheetViews>
  <sheetFormatPr defaultRowHeight="14.25"/>
  <cols>
    <col min="1" max="1" width="34" customWidth="1"/>
    <col min="2" max="5" width="20" customWidth="1"/>
  </cols>
  <sheetData>
    <row r="1" spans="1:6" ht="24" customHeight="1">
      <c r="A1" s="16" t="s">
        <v>130</v>
      </c>
      <c r="B1" s="16"/>
      <c r="C1" s="16"/>
      <c r="D1" s="16"/>
      <c r="E1" s="16"/>
      <c r="F1" s="16"/>
    </row>
    <row r="2" spans="1:6" ht="24" customHeight="1">
      <c r="A2" s="16"/>
      <c r="B2" s="16"/>
      <c r="C2" s="16"/>
      <c r="D2" s="16"/>
      <c r="E2" s="16"/>
      <c r="F2" s="16"/>
    </row>
    <row r="3" spans="1:6" ht="24" customHeight="1">
      <c r="A3" s="17" t="s">
        <v>131</v>
      </c>
      <c r="B3" s="17"/>
      <c r="C3" s="17"/>
      <c r="D3" s="17"/>
      <c r="E3" s="17"/>
      <c r="F3" s="17"/>
    </row>
    <row r="5" spans="1:6" ht="15">
      <c r="A5" s="6" t="s">
        <v>132</v>
      </c>
      <c r="B5" s="6" t="s">
        <v>133</v>
      </c>
      <c r="C5" s="6" t="s">
        <v>134</v>
      </c>
      <c r="D5" s="6" t="s">
        <v>135</v>
      </c>
      <c r="E5" s="6" t="s">
        <v>136</v>
      </c>
    </row>
    <row r="6" spans="1:6">
      <c r="A6" s="1" t="s">
        <v>137</v>
      </c>
      <c r="B6" s="13">
        <v>10000</v>
      </c>
      <c r="C6" s="14">
        <v>0.66796875</v>
      </c>
      <c r="D6" s="13">
        <v>5000</v>
      </c>
      <c r="E6" s="13">
        <f>IF(C6=0,0,B6/C6)</f>
        <v>14970.760233918129</v>
      </c>
    </row>
    <row r="7" spans="1:6">
      <c r="A7" s="1" t="s">
        <v>138</v>
      </c>
      <c r="B7" s="13">
        <v>10000</v>
      </c>
      <c r="C7" s="14">
        <v>0.30859375</v>
      </c>
      <c r="D7" s="13">
        <v>10000</v>
      </c>
      <c r="E7" s="13">
        <f>IF(C7=0,0,B7/C7)</f>
        <v>32405.063291139242</v>
      </c>
    </row>
    <row r="8" spans="1:6">
      <c r="A8" s="1" t="s">
        <v>139</v>
      </c>
      <c r="B8" s="13">
        <v>10000</v>
      </c>
      <c r="C8" s="14">
        <v>2.05859375</v>
      </c>
      <c r="D8" s="13">
        <v>10000</v>
      </c>
      <c r="E8" s="13">
        <f>IF(C8=0,0,B8/C8)</f>
        <v>4857.6850094876663</v>
      </c>
    </row>
    <row r="10" spans="1:6">
      <c r="A10" s="22" t="s">
        <v>140</v>
      </c>
      <c r="B10" s="22"/>
      <c r="C10" s="22"/>
      <c r="D10" s="22"/>
      <c r="E10" s="22"/>
      <c r="F10" s="22"/>
    </row>
  </sheetData>
  <mergeCells count="3">
    <mergeCell ref="A1:F2"/>
    <mergeCell ref="A3:F3"/>
    <mergeCell ref="A10:F10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F14"/>
  <sheetViews>
    <sheetView showGridLines="0" workbookViewId="0"/>
  </sheetViews>
  <sheetFormatPr defaultRowHeight="14.25"/>
  <cols>
    <col min="1" max="1" width="22" customWidth="1"/>
    <col min="2" max="2" width="32" customWidth="1"/>
    <col min="3" max="3" width="30" customWidth="1"/>
    <col min="4" max="4" width="18" customWidth="1"/>
    <col min="5" max="6" width="16" customWidth="1"/>
  </cols>
  <sheetData>
    <row r="1" spans="1:6" ht="24" customHeight="1">
      <c r="A1" s="16" t="s">
        <v>141</v>
      </c>
      <c r="B1" s="16"/>
      <c r="C1" s="16"/>
      <c r="D1" s="16"/>
      <c r="E1" s="16"/>
      <c r="F1" s="16"/>
    </row>
    <row r="2" spans="1:6" ht="24" customHeight="1">
      <c r="A2" s="16"/>
      <c r="B2" s="16"/>
      <c r="C2" s="16"/>
      <c r="D2" s="16"/>
      <c r="E2" s="16"/>
      <c r="F2" s="16"/>
    </row>
    <row r="3" spans="1:6" ht="24" customHeight="1">
      <c r="A3" s="17" t="s">
        <v>142</v>
      </c>
      <c r="B3" s="17"/>
      <c r="C3" s="17"/>
      <c r="D3" s="17"/>
      <c r="E3" s="17"/>
      <c r="F3" s="17"/>
    </row>
    <row r="5" spans="1:6" ht="15">
      <c r="A5" s="6" t="s">
        <v>143</v>
      </c>
      <c r="B5" s="6" t="s">
        <v>144</v>
      </c>
      <c r="C5" s="6" t="s">
        <v>145</v>
      </c>
      <c r="D5" s="6" t="s">
        <v>25</v>
      </c>
      <c r="E5" s="6" t="s">
        <v>20</v>
      </c>
      <c r="F5" s="6" t="s">
        <v>146</v>
      </c>
    </row>
    <row r="6" spans="1:6" ht="39.950000000000003" customHeight="1">
      <c r="A6" s="9" t="s">
        <v>147</v>
      </c>
      <c r="B6" s="9" t="s">
        <v>148</v>
      </c>
      <c r="C6" s="9" t="s">
        <v>149</v>
      </c>
      <c r="D6" s="15" t="s">
        <v>150</v>
      </c>
      <c r="E6" s="9">
        <v>1</v>
      </c>
      <c r="F6" s="9">
        <v>0</v>
      </c>
    </row>
    <row r="7" spans="1:6" ht="39.950000000000003" customHeight="1">
      <c r="A7" s="9" t="s">
        <v>151</v>
      </c>
      <c r="B7" s="9" t="s">
        <v>152</v>
      </c>
      <c r="C7" s="9" t="s">
        <v>153</v>
      </c>
      <c r="D7" s="15" t="s">
        <v>150</v>
      </c>
      <c r="E7" s="9">
        <v>1</v>
      </c>
      <c r="F7" s="9">
        <v>0</v>
      </c>
    </row>
    <row r="8" spans="1:6" ht="39.950000000000003" customHeight="1">
      <c r="A8" s="9" t="s">
        <v>154</v>
      </c>
      <c r="B8" s="9" t="s">
        <v>155</v>
      </c>
      <c r="C8" s="9" t="s">
        <v>156</v>
      </c>
      <c r="D8" s="15" t="s">
        <v>150</v>
      </c>
      <c r="E8" s="9">
        <v>1</v>
      </c>
      <c r="F8" s="9">
        <v>0</v>
      </c>
    </row>
    <row r="9" spans="1:6" ht="39.950000000000003" customHeight="1">
      <c r="A9" s="9" t="s">
        <v>157</v>
      </c>
      <c r="B9" s="9" t="s">
        <v>158</v>
      </c>
      <c r="C9" s="9" t="s">
        <v>159</v>
      </c>
      <c r="D9" s="15" t="s">
        <v>150</v>
      </c>
      <c r="E9" s="9">
        <v>1</v>
      </c>
      <c r="F9" s="9">
        <v>0</v>
      </c>
    </row>
    <row r="10" spans="1:6" ht="39.950000000000003" customHeight="1">
      <c r="A10" s="9" t="s">
        <v>160</v>
      </c>
      <c r="B10" s="9" t="s">
        <v>161</v>
      </c>
      <c r="C10" s="9" t="s">
        <v>162</v>
      </c>
      <c r="D10" s="15" t="s">
        <v>150</v>
      </c>
      <c r="E10" s="9">
        <v>1</v>
      </c>
      <c r="F10" s="9">
        <v>0</v>
      </c>
    </row>
    <row r="11" spans="1:6" ht="39.950000000000003" customHeight="1">
      <c r="A11" s="9" t="s">
        <v>163</v>
      </c>
      <c r="B11" s="9" t="s">
        <v>164</v>
      </c>
      <c r="C11" s="9" t="s">
        <v>165</v>
      </c>
      <c r="D11" s="15" t="s">
        <v>150</v>
      </c>
      <c r="E11" s="9">
        <v>1</v>
      </c>
      <c r="F11" s="9">
        <v>0</v>
      </c>
    </row>
    <row r="12" spans="1:6" ht="39.950000000000003" customHeight="1">
      <c r="A12" s="9" t="s">
        <v>166</v>
      </c>
      <c r="B12" s="9" t="s">
        <v>167</v>
      </c>
      <c r="C12" s="9" t="s">
        <v>168</v>
      </c>
      <c r="D12" s="15" t="s">
        <v>150</v>
      </c>
      <c r="E12" s="9">
        <v>1</v>
      </c>
      <c r="F12" s="9">
        <v>0</v>
      </c>
    </row>
    <row r="13" spans="1:6" ht="39.950000000000003" customHeight="1">
      <c r="A13" s="9" t="s">
        <v>169</v>
      </c>
      <c r="B13" s="9" t="s">
        <v>170</v>
      </c>
      <c r="C13" s="9" t="s">
        <v>171</v>
      </c>
      <c r="D13" s="15" t="s">
        <v>150</v>
      </c>
      <c r="E13" s="9">
        <v>1</v>
      </c>
      <c r="F13" s="9">
        <v>0</v>
      </c>
    </row>
    <row r="14" spans="1:6" ht="39.950000000000003" customHeight="1">
      <c r="A14" s="9" t="s">
        <v>172</v>
      </c>
      <c r="B14" s="9" t="s">
        <v>173</v>
      </c>
      <c r="C14" s="9" t="s">
        <v>174</v>
      </c>
      <c r="D14" s="15" t="s">
        <v>150</v>
      </c>
      <c r="E14" s="9">
        <v>1</v>
      </c>
      <c r="F14" s="9">
        <v>0</v>
      </c>
    </row>
  </sheetData>
  <mergeCells count="2">
    <mergeCell ref="A1:F2"/>
    <mergeCell ref="A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Start Here</vt:lpstr>
      <vt:lpstr>Examples</vt:lpstr>
      <vt:lpstr>User Class LINQ</vt:lpstr>
      <vt:lpstr>Benchmarks</vt:lpstr>
      <vt:lpstr>Architecture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2026-07-19T16:53:32Z</dcterms:created>
  <dcterms:modified xsi:type="dcterms:W3CDTF">2026-07-19T20:29:31Z</dcterms:modified>
</cp:coreProperties>
</file>