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F:\GitHub\ROneCOne\demo\"/>
    </mc:Choice>
  </mc:AlternateContent>
  <xr:revisionPtr revIDLastSave="0" documentId="13_ncr:1_{EA70EA6E-1020-44DD-ABEA-F3A0766244E1}" xr6:coauthVersionLast="47" xr6:coauthVersionMax="47" xr10:uidLastSave="{00000000-0000-0000-0000-000000000000}"/>
  <bookViews>
    <workbookView xWindow="1170" yWindow="1170" windowWidth="19440" windowHeight="11220" xr2:uid="{00000000-000D-0000-FFFF-FFFF00000000}"/>
  </bookViews>
  <sheets>
    <sheet name="Start Here" sheetId="1" r:id="rId1"/>
    <sheet name="Examples" sheetId="2" r:id="rId2"/>
    <sheet name="Benchmarks" sheetId="3" r:id="rId3"/>
    <sheet name="Architecture" sheetId="4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3" i="2" l="1"/>
  <c r="F12" i="2"/>
  <c r="F11" i="2"/>
  <c r="F10" i="2"/>
  <c r="F9" i="2"/>
  <c r="F8" i="2"/>
  <c r="F7" i="2"/>
  <c r="F6" i="2"/>
  <c r="G7" i="1"/>
  <c r="G6" i="1"/>
</calcChain>
</file>

<file path=xl/sharedStrings.xml><?xml version="1.0" encoding="utf-8"?>
<sst xmlns="http://schemas.openxmlformats.org/spreadsheetml/2006/main" count="102" uniqueCount="91">
  <si>
    <t>ROneCOne Zip</t>
  </si>
  <si>
    <t>Open and make zip archives, pure VBA, offline</t>
  </si>
  <si>
    <t>Run this demo</t>
  </si>
  <si>
    <t>Live status</t>
  </si>
  <si>
    <t>1</t>
  </si>
  <si>
    <t>Press Alt+F8</t>
  </si>
  <si>
    <t>Open Excel's Macro dialog</t>
  </si>
  <si>
    <t>Examples passing</t>
  </si>
  <si>
    <t>2</t>
  </si>
  <si>
    <t>Run RunROneCOneZipDemo</t>
  </si>
  <si>
    <t>Fills in every result for you</t>
  </si>
  <si>
    <t>Examples total</t>
  </si>
  <si>
    <t>3</t>
  </si>
  <si>
    <t>Review Examples</t>
  </si>
  <si>
    <t>PASS confirms that each result worked</t>
  </si>
  <si>
    <t>Feature slice</t>
  </si>
  <si>
    <t>Zip</t>
  </si>
  <si>
    <t>4</t>
  </si>
  <si>
    <t>Import ROneCOne.cls</t>
  </si>
  <si>
    <t>Add the entire runtime to your own workbook</t>
  </si>
  <si>
    <t>Runtime files</t>
  </si>
  <si>
    <t>Runtime dependencies</t>
  </si>
  <si>
    <t>Last demo run</t>
  </si>
  <si>
    <t>Value</t>
  </si>
  <si>
    <t>Timestamp</t>
  </si>
  <si>
    <t>Status</t>
  </si>
  <si>
    <t>Error detail</t>
  </si>
  <si>
    <t>Your data stays local: no telemetry, network transmission, or runtime VBIDE access.</t>
  </si>
  <si>
    <t>Live zip examples</t>
  </si>
  <si>
    <t>Run RunROneCOneZipDemo; column F validates every result.</t>
  </si>
  <si>
    <t>What it does</t>
  </si>
  <si>
    <t>C# equivalent (optional)</t>
  </si>
  <si>
    <t>ROneCOne VBA</t>
  </si>
  <si>
    <t>Expected</t>
  </si>
  <si>
    <t>Live result</t>
  </si>
  <si>
    <t>Open an archive and count entries</t>
  </si>
  <si>
    <t>ZipFile.OpenRead(path).Entries</t>
  </si>
  <si>
    <t>Set archive = ROneCOne.ZipFile.OpenRead(madePath)
archive.Entries.Count</t>
  </si>
  <si>
    <t>Read an entry without extracting</t>
  </si>
  <si>
    <t>entry.Open() into a reader</t>
  </si>
  <si>
    <t>archive.GetEntry("readme.txt").ReadAllText()</t>
  </si>
  <si>
    <t>read me first</t>
  </si>
  <si>
    <t>An entry knows its size</t>
  </si>
  <si>
    <t>entry.Length</t>
  </si>
  <si>
    <t>archive.GetEntry("sub/data.csv").Length</t>
  </si>
  <si>
    <t>Stored entries are uncompressed</t>
  </si>
  <si>
    <t>entry.CompressedLength = entry.Length</t>
  </si>
  <si>
    <t>archive.GetEntry("sub/data.csv").CompressedLength = _
    archive.GetEntry("sub/data.csv").Length</t>
  </si>
  <si>
    <t>PowerShell zips, ROneCOne opens</t>
  </si>
  <si>
    <t>Compress-Archive then OpenRead</t>
  </si>
  <si>
    <t>ROneCOne.ZipFile.OpenRead(psMadePath).Entries.Count &gt;= 2</t>
  </si>
  <si>
    <t>And inflates its DEFLATE</t>
  </si>
  <si>
    <t>RFC 1951 inflate</t>
  </si>
  <si>
    <t>InStr(1, ROneCOne.ZipFile.OpenRead(psMadePath) _
    .GetEntry("readme.txt").ReadAllText(), "read me first") &gt; 0</t>
  </si>
  <si>
    <t>ROneCOne writes, PowerShell reads</t>
  </si>
  <si>
    <t>CreateFromDirectory then Expand-Archive</t>
  </si>
  <si>
    <t>ROneCOne.File.ReadAllText(ps_out &amp; "\readme.txt")</t>
  </si>
  <si>
    <t>Zip-slip names are refused</t>
  </si>
  <si>
    <t>directory-traversal guard</t>
  </si>
  <si>
    <t>On Error Resume Next
ROneCOne.ZipFile.ExtractToDirectory hostilePath, guardedDir
If Err.Number = ROneCOne.ZipError Then ...</t>
  </si>
  <si>
    <t>traversal refused</t>
  </si>
  <si>
    <t>Zip benchmark</t>
  </si>
  <si>
    <t>Measured in the same Excel process.</t>
  </si>
  <si>
    <t>Scenario</t>
  </si>
  <si>
    <t>Iterations</t>
  </si>
  <si>
    <t>Seconds</t>
  </si>
  <si>
    <t>Summed value</t>
  </si>
  <si>
    <t>Inflate a 1,000-line archived file</t>
  </si>
  <si>
    <t>Why deployment stays simple</t>
  </si>
  <si>
    <t>Every capability is contained in ROneCOne.cls.</t>
  </si>
  <si>
    <t>Invariant</t>
  </si>
  <si>
    <t>Decision</t>
  </si>
  <si>
    <t>Behavior</t>
  </si>
  <si>
    <t>Dependencies</t>
  </si>
  <si>
    <t>Single-file core</t>
  </si>
  <si>
    <t>ROneCOne.cls</t>
  </si>
  <si>
    <t>One import</t>
  </si>
  <si>
    <t>ENFORCED</t>
  </si>
  <si>
    <t>No COM component</t>
  </si>
  <si>
    <t>Pure-VBA engine</t>
  </si>
  <si>
    <t>No reference, add-in, or Shell automation</t>
  </si>
  <si>
    <t>Verified reads</t>
  </si>
  <si>
    <t>RFC 1951 inflate + CRC-32</t>
  </si>
  <si>
    <t>Every entry is checked against its own CRC</t>
  </si>
  <si>
    <t>Safe extraction</t>
  </si>
  <si>
    <t>Directory-traversal guard</t>
  </si>
  <si>
    <t>Zip-slip names are refused before any write</t>
  </si>
  <si>
    <t>Interoperable</t>
  </si>
  <si>
    <t>Compress-Archive both ways</t>
  </si>
  <si>
    <t>Reads .NET deflate, writes what Expand-Archive reads</t>
  </si>
  <si>
    <t>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</si>
</sst>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yyyy\-mm\-dd\ hh:mm:ss"/>
    <numFmt numFmtId="165" formatCode="0.000000"/>
  </numFmts>
  <fonts count="9">
    <font>
      <sz val="11"/>
      <name val="Carlito"/>
    </font>
    <font>
      <b/>
      <sz val="24"/>
      <color rgb="FFFFFFFF"/>
      <name val="Carlito"/>
    </font>
    <font>
      <i/>
      <sz val="11"/>
      <color rgb="FF1F2937"/>
      <name val="Carlito"/>
    </font>
    <font>
      <b/>
      <sz val="11"/>
      <color rgb="FFFFFFFF"/>
      <name val="Carlito"/>
    </font>
    <font>
      <b/>
      <sz val="11"/>
      <color rgb="FF1F2937"/>
      <name val="Carlito"/>
    </font>
    <font>
      <b/>
      <sz val="14"/>
      <color rgb="FF15803D"/>
      <name val="Carlito"/>
    </font>
    <font>
      <b/>
      <sz val="11"/>
      <color rgb="FF15803D"/>
      <name val="Carlito"/>
    </font>
    <font>
      <b/>
      <sz val="11"/>
      <color rgb="FF9A4A00"/>
      <name val="Carlito"/>
    </font>
    <font>
      <sz val="10"/>
      <color rgb="FF1F2937"/>
      <name val="Consolas"/>
    </font>
  </fonts>
  <fills count="8">
    <fill>
      <patternFill patternType="none"/>
    </fill>
    <fill>
      <patternFill patternType="gray125"/>
    </fill>
    <fill>
      <patternFill patternType="solid">
        <fgColor rgb="FF152238"/>
      </patternFill>
    </fill>
    <fill>
      <patternFill patternType="solid">
        <fgColor rgb="FFEAF7F6"/>
      </patternFill>
    </fill>
    <fill>
      <patternFill patternType="solid">
        <fgColor rgb="FF00A6A6"/>
      </patternFill>
    </fill>
    <fill>
      <patternFill patternType="solid">
        <fgColor rgb="FFFF8C42"/>
      </patternFill>
    </fill>
    <fill>
      <patternFill patternType="solid">
        <fgColor rgb="FFFFF4E8"/>
      </patternFill>
    </fill>
    <fill>
      <patternFill patternType="solid">
        <fgColor rgb="FFF8FAFC"/>
      </patternFill>
    </fill>
  </fills>
  <borders count="5">
    <border>
      <left/>
      <right/>
      <top/>
      <bottom/>
      <diagonal/>
    </border>
    <border>
      <left style="thin">
        <color rgb="FF00A6A6"/>
      </left>
      <right/>
      <top style="thin">
        <color rgb="FF00A6A6"/>
      </top>
      <bottom style="thin">
        <color rgb="FF00A6A6"/>
      </bottom>
      <diagonal/>
    </border>
    <border>
      <left/>
      <right/>
      <top style="thin">
        <color rgb="FF00A6A6"/>
      </top>
      <bottom style="thin">
        <color rgb="FF00A6A6"/>
      </bottom>
      <diagonal/>
    </border>
    <border>
      <left/>
      <right style="thin">
        <color rgb="FF00A6A6"/>
      </right>
      <top style="thin">
        <color rgb="FF00A6A6"/>
      </top>
      <bottom style="thin">
        <color rgb="FF00A6A6"/>
      </bottom>
      <diagonal/>
    </border>
    <border>
      <left style="thin">
        <color rgb="FFD7E1EA"/>
      </left>
      <right style="thin">
        <color rgb="FFD7E1EA"/>
      </right>
      <top style="thin">
        <color rgb="FFD7E1EA"/>
      </top>
      <bottom style="thin">
        <color rgb="FFD7E1EA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4" xfId="0" applyBorder="1"/>
    <xf numFmtId="0" fontId="0" fillId="0" borderId="4" xfId="0" applyBorder="1" applyAlignment="1">
      <alignment wrapText="1"/>
    </xf>
    <xf numFmtId="0" fontId="3" fillId="5" borderId="4" xfId="0" applyFont="1" applyFill="1" applyBorder="1" applyAlignment="1">
      <alignment horizontal="center" wrapText="1"/>
    </xf>
    <xf numFmtId="0" fontId="4" fillId="0" borderId="4" xfId="0" applyFont="1" applyBorder="1"/>
    <xf numFmtId="0" fontId="5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wrapText="1"/>
    </xf>
    <xf numFmtId="164" fontId="0" fillId="0" borderId="4" xfId="0" applyNumberFormat="1" applyBorder="1" applyAlignment="1">
      <alignment wrapText="1"/>
    </xf>
    <xf numFmtId="0" fontId="6" fillId="3" borderId="4" xfId="0" applyFont="1" applyFill="1" applyBorder="1" applyAlignment="1">
      <alignment wrapText="1"/>
    </xf>
    <xf numFmtId="0" fontId="0" fillId="0" borderId="4" xfId="0" applyBorder="1" applyAlignment="1">
      <alignment vertical="top" wrapText="1"/>
    </xf>
    <xf numFmtId="0" fontId="0" fillId="0" borderId="4" xfId="0" applyBorder="1" applyAlignment="1">
      <alignment vertical="top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8" fillId="7" borderId="4" xfId="0" applyFont="1" applyFill="1" applyBorder="1" applyAlignment="1">
      <alignment vertical="top" wrapText="1"/>
    </xf>
    <xf numFmtId="165" fontId="0" fillId="0" borderId="4" xfId="0" applyNumberFormat="1" applyBorder="1"/>
    <xf numFmtId="0" fontId="1" fillId="2" borderId="0" xfId="0" applyFont="1" applyFill="1" applyAlignment="1">
      <alignment vertical="center"/>
    </xf>
    <xf numFmtId="0" fontId="2" fillId="3" borderId="0" xfId="0" applyFont="1" applyFill="1" applyAlignment="1">
      <alignment vertical="center"/>
    </xf>
    <xf numFmtId="0" fontId="3" fillId="4" borderId="1" xfId="0" applyFont="1" applyFill="1" applyBorder="1"/>
    <xf numFmtId="0" fontId="3" fillId="4" borderId="2" xfId="0" applyFont="1" applyFill="1" applyBorder="1"/>
    <xf numFmtId="0" fontId="3" fillId="4" borderId="3" xfId="0" applyFont="1" applyFill="1" applyBorder="1"/>
    <xf numFmtId="0" fontId="7" fillId="6" borderId="0" xfId="0" applyFont="1" applyFill="1" applyAlignment="1">
      <alignment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22/11/relationships/FeaturePropertyBag" Target="featurePropertyBag/featurePropertyBag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</FeaturePropertyBags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16"/>
  <sheetViews>
    <sheetView showGridLines="0" tabSelected="1" workbookViewId="0">
      <pane ySplit="3" topLeftCell="A4" activePane="bottomLeft" state="frozen"/>
      <selection pane="bottomLeft" sqref="A1:H2"/>
    </sheetView>
  </sheetViews>
  <sheetFormatPr defaultRowHeight="14.25"/>
  <cols>
    <col min="1" max="1" width="16" customWidth="1"/>
    <col min="2" max="2" width="30" customWidth="1"/>
    <col min="3" max="4" width="26" customWidth="1"/>
    <col min="6" max="6" width="22" customWidth="1"/>
    <col min="7" max="8" width="19" customWidth="1"/>
  </cols>
  <sheetData>
    <row r="1" spans="1:8">
      <c r="A1" s="13" t="s">
        <v>0</v>
      </c>
      <c r="B1" s="13"/>
      <c r="C1" s="13"/>
      <c r="D1" s="13"/>
      <c r="E1" s="13"/>
      <c r="F1" s="13"/>
      <c r="G1" s="13"/>
      <c r="H1" s="13"/>
    </row>
    <row r="2" spans="1:8">
      <c r="A2" s="13"/>
      <c r="B2" s="13"/>
      <c r="C2" s="13"/>
      <c r="D2" s="13"/>
      <c r="E2" s="13"/>
      <c r="F2" s="13"/>
      <c r="G2" s="13"/>
      <c r="H2" s="13"/>
    </row>
    <row r="3" spans="1:8">
      <c r="A3" s="14" t="s">
        <v>1</v>
      </c>
      <c r="B3" s="14"/>
      <c r="C3" s="14"/>
      <c r="D3" s="14"/>
      <c r="E3" s="14"/>
      <c r="F3" s="14"/>
      <c r="G3" s="14"/>
      <c r="H3" s="14"/>
    </row>
    <row r="5" spans="1:8" ht="15">
      <c r="A5" s="15" t="s">
        <v>2</v>
      </c>
      <c r="B5" s="16"/>
      <c r="C5" s="16"/>
      <c r="D5" s="17"/>
      <c r="F5" s="15" t="s">
        <v>3</v>
      </c>
      <c r="G5" s="16"/>
      <c r="H5" s="17"/>
    </row>
    <row r="6" spans="1:8" ht="33.950000000000003" customHeight="1">
      <c r="A6" s="3" t="s">
        <v>4</v>
      </c>
      <c r="B6" s="2" t="s">
        <v>5</v>
      </c>
      <c r="C6" s="2" t="s">
        <v>6</v>
      </c>
      <c r="D6" s="2"/>
      <c r="F6" s="4" t="s">
        <v>7</v>
      </c>
      <c r="G6" s="5">
        <f>COUNTIF(Examples!F6:F13,"PASS")</f>
        <v>8</v>
      </c>
    </row>
    <row r="7" spans="1:8" ht="33.950000000000003" customHeight="1">
      <c r="A7" s="3" t="s">
        <v>8</v>
      </c>
      <c r="B7" s="2" t="s">
        <v>9</v>
      </c>
      <c r="C7" s="2" t="s">
        <v>10</v>
      </c>
      <c r="D7" s="2"/>
      <c r="F7" s="4" t="s">
        <v>11</v>
      </c>
      <c r="G7" s="5">
        <f>COUNTA(Examples!A6:A13)</f>
        <v>8</v>
      </c>
    </row>
    <row r="8" spans="1:8" ht="33.950000000000003" customHeight="1">
      <c r="A8" s="3" t="s">
        <v>12</v>
      </c>
      <c r="B8" s="2" t="s">
        <v>13</v>
      </c>
      <c r="C8" s="2" t="s">
        <v>14</v>
      </c>
      <c r="D8" s="2"/>
      <c r="F8" s="4" t="s">
        <v>15</v>
      </c>
      <c r="G8" s="1" t="s">
        <v>16</v>
      </c>
    </row>
    <row r="9" spans="1:8" ht="33.950000000000003" customHeight="1">
      <c r="A9" s="3" t="s">
        <v>17</v>
      </c>
      <c r="B9" s="2" t="s">
        <v>18</v>
      </c>
      <c r="C9" s="2" t="s">
        <v>19</v>
      </c>
      <c r="D9" s="2"/>
      <c r="F9" s="4" t="s">
        <v>20</v>
      </c>
      <c r="G9" s="1">
        <v>1</v>
      </c>
    </row>
    <row r="10" spans="1:8" ht="33.950000000000003" customHeight="1">
      <c r="F10" s="4" t="s">
        <v>21</v>
      </c>
      <c r="G10" s="1">
        <v>0</v>
      </c>
    </row>
    <row r="11" spans="1:8" ht="15">
      <c r="A11" s="6" t="s">
        <v>22</v>
      </c>
      <c r="B11" s="6" t="s">
        <v>23</v>
      </c>
    </row>
    <row r="12" spans="1:8">
      <c r="A12" s="2" t="s">
        <v>24</v>
      </c>
      <c r="B12" s="7">
        <v>46287.718611111108</v>
      </c>
    </row>
    <row r="13" spans="1:8" ht="15">
      <c r="A13" s="2" t="s">
        <v>25</v>
      </c>
      <c r="B13" s="8" t="s">
        <v>90</v>
      </c>
    </row>
    <row r="14" spans="1:8">
      <c r="A14" s="2" t="s">
        <v>26</v>
      </c>
      <c r="B14" s="2"/>
    </row>
    <row r="16" spans="1:8" ht="15">
      <c r="A16" s="18" t="s">
        <v>27</v>
      </c>
      <c r="B16" s="18"/>
      <c r="C16" s="18"/>
      <c r="D16" s="18"/>
      <c r="E16" s="18"/>
      <c r="F16" s="18"/>
      <c r="G16" s="18"/>
      <c r="H16" s="18"/>
    </row>
  </sheetData>
  <mergeCells count="5">
    <mergeCell ref="A1:H2"/>
    <mergeCell ref="A3:H3"/>
    <mergeCell ref="A5:D5"/>
    <mergeCell ref="F5:H5"/>
    <mergeCell ref="A16:H1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F13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22" customWidth="1"/>
    <col min="2" max="2" width="40" customWidth="1"/>
    <col min="3" max="3" width="58" customWidth="1"/>
    <col min="4" max="6" width="18" customWidth="1"/>
  </cols>
  <sheetData>
    <row r="1" spans="1:6">
      <c r="A1" s="13" t="s">
        <v>28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29</v>
      </c>
      <c r="B3" s="14"/>
      <c r="C3" s="14"/>
      <c r="D3" s="14"/>
      <c r="E3" s="14"/>
      <c r="F3" s="14"/>
    </row>
    <row r="5" spans="1:6" ht="15">
      <c r="A5" s="6" t="s">
        <v>30</v>
      </c>
      <c r="B5" s="6" t="s">
        <v>31</v>
      </c>
      <c r="C5" s="6" t="s">
        <v>32</v>
      </c>
      <c r="D5" s="6" t="s">
        <v>33</v>
      </c>
      <c r="E5" s="6" t="s">
        <v>34</v>
      </c>
      <c r="F5" s="6" t="s">
        <v>25</v>
      </c>
    </row>
    <row r="6" spans="1:6" ht="62.1" customHeight="1">
      <c r="A6" s="9" t="s">
        <v>35</v>
      </c>
      <c r="B6" s="9" t="s">
        <v>36</v>
      </c>
      <c r="C6" s="11" t="s">
        <v>37</v>
      </c>
      <c r="D6" s="9">
        <v>2</v>
      </c>
      <c r="E6" s="9">
        <v>2</v>
      </c>
      <c r="F6" s="9" t="str">
        <f t="shared" ref="F6:F13" si="0">IF(E6="","NOT RUN",IF(E6=D6,"PASS","CHECK"))</f>
        <v>PASS</v>
      </c>
    </row>
    <row r="7" spans="1:6" ht="62.1" customHeight="1">
      <c r="A7" s="9" t="s">
        <v>38</v>
      </c>
      <c r="B7" s="9" t="s">
        <v>39</v>
      </c>
      <c r="C7" s="11" t="s">
        <v>40</v>
      </c>
      <c r="D7" s="9" t="s">
        <v>41</v>
      </c>
      <c r="E7" s="9" t="s">
        <v>41</v>
      </c>
      <c r="F7" s="9" t="str">
        <f t="shared" si="0"/>
        <v>PASS</v>
      </c>
    </row>
    <row r="8" spans="1:6" ht="62.1" customHeight="1">
      <c r="A8" s="9" t="s">
        <v>42</v>
      </c>
      <c r="B8" s="9" t="s">
        <v>43</v>
      </c>
      <c r="C8" s="11" t="s">
        <v>44</v>
      </c>
      <c r="D8" s="9">
        <v>15</v>
      </c>
      <c r="E8" s="9">
        <v>15</v>
      </c>
      <c r="F8" s="9" t="str">
        <f t="shared" si="0"/>
        <v>PASS</v>
      </c>
    </row>
    <row r="9" spans="1:6" ht="62.1" customHeight="1">
      <c r="A9" s="9" t="s">
        <v>45</v>
      </c>
      <c r="B9" s="9" t="s">
        <v>46</v>
      </c>
      <c r="C9" s="11" t="s">
        <v>47</v>
      </c>
      <c r="D9" s="10" t="b">
        <v>1</v>
      </c>
      <c r="E9" s="9" t="b">
        <v>1</v>
      </c>
      <c r="F9" s="9" t="str">
        <f t="shared" si="0"/>
        <v>PASS</v>
      </c>
    </row>
    <row r="10" spans="1:6" ht="62.1" customHeight="1">
      <c r="A10" s="9" t="s">
        <v>48</v>
      </c>
      <c r="B10" s="9" t="s">
        <v>49</v>
      </c>
      <c r="C10" s="11" t="s">
        <v>50</v>
      </c>
      <c r="D10" s="10" t="b">
        <v>1</v>
      </c>
      <c r="E10" s="9" t="b">
        <v>1</v>
      </c>
      <c r="F10" s="9" t="str">
        <f t="shared" si="0"/>
        <v>PASS</v>
      </c>
    </row>
    <row r="11" spans="1:6" ht="62.1" customHeight="1">
      <c r="A11" s="9" t="s">
        <v>51</v>
      </c>
      <c r="B11" s="9" t="s">
        <v>52</v>
      </c>
      <c r="C11" s="11" t="s">
        <v>53</v>
      </c>
      <c r="D11" s="10" t="b">
        <v>1</v>
      </c>
      <c r="E11" s="9" t="b">
        <v>1</v>
      </c>
      <c r="F11" s="9" t="str">
        <f t="shared" si="0"/>
        <v>PASS</v>
      </c>
    </row>
    <row r="12" spans="1:6" ht="62.1" customHeight="1">
      <c r="A12" s="9" t="s">
        <v>54</v>
      </c>
      <c r="B12" s="9" t="s">
        <v>55</v>
      </c>
      <c r="C12" s="11" t="s">
        <v>56</v>
      </c>
      <c r="D12" s="9" t="s">
        <v>41</v>
      </c>
      <c r="E12" s="9" t="s">
        <v>41</v>
      </c>
      <c r="F12" s="9" t="str">
        <f t="shared" si="0"/>
        <v>PASS</v>
      </c>
    </row>
    <row r="13" spans="1:6" ht="62.1" customHeight="1">
      <c r="A13" s="9" t="s">
        <v>57</v>
      </c>
      <c r="B13" s="9" t="s">
        <v>58</v>
      </c>
      <c r="C13" s="11" t="s">
        <v>59</v>
      </c>
      <c r="D13" s="9" t="s">
        <v>60</v>
      </c>
      <c r="E13" s="9" t="s">
        <v>60</v>
      </c>
      <c r="F13" s="9" t="str">
        <f t="shared" si="0"/>
        <v>PASS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F6"/>
  <sheetViews>
    <sheetView showGridLines="0" workbookViewId="0">
      <pane ySplit="5" topLeftCell="A6" activePane="bottomLeft" state="frozen"/>
      <selection pane="bottomLeft"/>
    </sheetView>
  </sheetViews>
  <sheetFormatPr defaultRowHeight="14.25"/>
  <cols>
    <col min="1" max="1" width="38" customWidth="1"/>
    <col min="2" max="4" width="20" customWidth="1"/>
  </cols>
  <sheetData>
    <row r="1" spans="1:6">
      <c r="A1" s="13" t="s">
        <v>61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62</v>
      </c>
      <c r="B3" s="14"/>
      <c r="C3" s="14"/>
      <c r="D3" s="14"/>
      <c r="E3" s="14"/>
      <c r="F3" s="14"/>
    </row>
    <row r="5" spans="1:6" ht="15">
      <c r="A5" s="6" t="s">
        <v>63</v>
      </c>
      <c r="B5" s="6" t="s">
        <v>64</v>
      </c>
      <c r="C5" s="6" t="s">
        <v>65</v>
      </c>
      <c r="D5" s="6" t="s">
        <v>66</v>
      </c>
    </row>
    <row r="6" spans="1:6">
      <c r="A6" s="1" t="s">
        <v>67</v>
      </c>
      <c r="B6" s="1">
        <v>1000</v>
      </c>
      <c r="C6" s="12">
        <v>7.8125E-3</v>
      </c>
      <c r="D6" s="1">
        <v>500500</v>
      </c>
    </row>
  </sheetData>
  <mergeCells count="2">
    <mergeCell ref="A1:F2"/>
    <mergeCell ref="A3:F3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F10"/>
  <sheetViews>
    <sheetView showGridLines="0" workbookViewId="0"/>
  </sheetViews>
  <sheetFormatPr defaultRowHeight="14.25"/>
  <cols>
    <col min="1" max="1" width="22" customWidth="1"/>
    <col min="2" max="3" width="32" customWidth="1"/>
    <col min="4" max="6" width="18" customWidth="1"/>
  </cols>
  <sheetData>
    <row r="1" spans="1:6">
      <c r="A1" s="13" t="s">
        <v>68</v>
      </c>
      <c r="B1" s="13"/>
      <c r="C1" s="13"/>
      <c r="D1" s="13"/>
      <c r="E1" s="13"/>
      <c r="F1" s="13"/>
    </row>
    <row r="2" spans="1:6">
      <c r="A2" s="13"/>
      <c r="B2" s="13"/>
      <c r="C2" s="13"/>
      <c r="D2" s="13"/>
      <c r="E2" s="13"/>
      <c r="F2" s="13"/>
    </row>
    <row r="3" spans="1:6">
      <c r="A3" s="14" t="s">
        <v>69</v>
      </c>
      <c r="B3" s="14"/>
      <c r="C3" s="14"/>
      <c r="D3" s="14"/>
      <c r="E3" s="14"/>
      <c r="F3" s="14"/>
    </row>
    <row r="5" spans="1:6" ht="15">
      <c r="A5" s="6" t="s">
        <v>70</v>
      </c>
      <c r="B5" s="6" t="s">
        <v>71</v>
      </c>
      <c r="C5" s="6" t="s">
        <v>72</v>
      </c>
      <c r="D5" s="6" t="s">
        <v>25</v>
      </c>
      <c r="E5" s="6" t="s">
        <v>20</v>
      </c>
      <c r="F5" s="6" t="s">
        <v>73</v>
      </c>
    </row>
    <row r="6" spans="1:6" ht="15">
      <c r="A6" s="2" t="s">
        <v>74</v>
      </c>
      <c r="B6" s="2" t="s">
        <v>75</v>
      </c>
      <c r="C6" s="2" t="s">
        <v>76</v>
      </c>
      <c r="D6" s="8" t="s">
        <v>77</v>
      </c>
      <c r="E6" s="2">
        <v>1</v>
      </c>
      <c r="F6" s="2">
        <v>0</v>
      </c>
    </row>
    <row r="7" spans="1:6" ht="29.25">
      <c r="A7" s="2" t="s">
        <v>78</v>
      </c>
      <c r="B7" s="2" t="s">
        <v>79</v>
      </c>
      <c r="C7" s="2" t="s">
        <v>80</v>
      </c>
      <c r="D7" s="8" t="s">
        <v>77</v>
      </c>
      <c r="E7" s="2">
        <v>1</v>
      </c>
      <c r="F7" s="2">
        <v>0</v>
      </c>
    </row>
    <row r="8" spans="1:6" ht="29.25">
      <c r="A8" s="2" t="s">
        <v>81</v>
      </c>
      <c r="B8" s="2" t="s">
        <v>82</v>
      </c>
      <c r="C8" s="2" t="s">
        <v>83</v>
      </c>
      <c r="D8" s="8" t="s">
        <v>77</v>
      </c>
      <c r="E8" s="2">
        <v>1</v>
      </c>
      <c r="F8" s="2">
        <v>0</v>
      </c>
    </row>
    <row r="9" spans="1:6" ht="29.25">
      <c r="A9" s="2" t="s">
        <v>84</v>
      </c>
      <c r="B9" s="2" t="s">
        <v>85</v>
      </c>
      <c r="C9" s="2" t="s">
        <v>86</v>
      </c>
      <c r="D9" s="8" t="s">
        <v>77</v>
      </c>
      <c r="E9" s="2">
        <v>1</v>
      </c>
      <c r="F9" s="2">
        <v>0</v>
      </c>
    </row>
    <row r="10" spans="1:6" ht="29.25">
      <c r="A10" s="2" t="s">
        <v>87</v>
      </c>
      <c r="B10" s="2" t="s">
        <v>88</v>
      </c>
      <c r="C10" s="2" t="s">
        <v>89</v>
      </c>
      <c r="D10" s="8" t="s">
        <v>77</v>
      </c>
      <c r="E10" s="2">
        <v>1</v>
      </c>
      <c r="F10" s="2">
        <v>0</v>
      </c>
    </row>
  </sheetData>
  <mergeCells count="2">
    <mergeCell ref="A1:F2"/>
    <mergeCell ref="A3:F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Start Here</vt:lpstr>
      <vt:lpstr>Examples</vt:lpstr>
      <vt:lpstr>Benchmarks</vt:lpstr>
      <vt:lpstr>Architecture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William Smith</cp:lastModifiedBy>
  <dcterms:created xsi:type="dcterms:W3CDTF">2026-09-22T23:09:48Z</dcterms:created>
  <dcterms:modified xsi:type="dcterms:W3CDTF">2026-09-23T00:14:49Z</dcterms:modified>
</cp:coreProperties>
</file>