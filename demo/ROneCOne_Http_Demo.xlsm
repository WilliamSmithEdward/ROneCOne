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F:\GitHub\ROneCOne\demo\"/>
    </mc:Choice>
  </mc:AlternateContent>
  <xr:revisionPtr revIDLastSave="0" documentId="13_ncr:1_{BCAD9D84-6240-43E9-BB28-34933D3E564B}" xr6:coauthVersionLast="47" xr6:coauthVersionMax="47" xr10:uidLastSave="{00000000-0000-0000-0000-000000000000}"/>
  <bookViews>
    <workbookView xWindow="1170" yWindow="1170" windowWidth="16200" windowHeight="9150" xr2:uid="{00000000-000D-0000-FFFF-FFFF00000000}"/>
  </bookViews>
  <sheets>
    <sheet name="Start Here" sheetId="1" r:id="rId1"/>
    <sheet name="Examples" sheetId="2" r:id="rId2"/>
    <sheet name="Benchmarks" sheetId="3" r:id="rId3"/>
    <sheet name="Architecture" sheetId="4" r:id="rId4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8" i="2" l="1"/>
  <c r="F17" i="2"/>
  <c r="D17" i="2"/>
  <c r="F16" i="2"/>
  <c r="D16" i="2"/>
  <c r="F15" i="2"/>
  <c r="F14" i="2"/>
  <c r="D14" i="2"/>
  <c r="F13" i="2"/>
  <c r="G6" i="1" s="1"/>
  <c r="D13" i="2"/>
  <c r="F12" i="2"/>
  <c r="F11" i="2"/>
  <c r="F10" i="2"/>
  <c r="F9" i="2"/>
  <c r="F8" i="2"/>
  <c r="D8" i="2"/>
  <c r="F7" i="2"/>
  <c r="D7" i="2"/>
  <c r="F6" i="2"/>
  <c r="G7" i="1"/>
</calcChain>
</file>

<file path=xl/sharedStrings.xml><?xml version="1.0" encoding="utf-8"?>
<sst xmlns="http://schemas.openxmlformats.org/spreadsheetml/2006/main" count="124" uniqueCount="111">
  <si>
    <t>ROneCOne HTTP</t>
  </si>
  <si>
    <t>Download web data with awaitable requests that keep Excel responsive</t>
  </si>
  <si>
    <t>Run this demo</t>
  </si>
  <si>
    <t>Live status</t>
  </si>
  <si>
    <t>1</t>
  </si>
  <si>
    <t>Press Alt+F8</t>
  </si>
  <si>
    <t>Open Excel's Macro dialog</t>
  </si>
  <si>
    <t>Examples passing</t>
  </si>
  <si>
    <t>2</t>
  </si>
  <si>
    <t>Run RunROneCOneHttpDemo</t>
  </si>
  <si>
    <t>Fills in every result for you</t>
  </si>
  <si>
    <t>Examples total</t>
  </si>
  <si>
    <t>3</t>
  </si>
  <si>
    <t>Review Examples</t>
  </si>
  <si>
    <t>PASS confirms that each result worked</t>
  </si>
  <si>
    <t>Feature slice</t>
  </si>
  <si>
    <t>HTTP and async</t>
  </si>
  <si>
    <t>4</t>
  </si>
  <si>
    <t>Import ROneCOne.cls</t>
  </si>
  <si>
    <t>Add the entire runtime to your own workbook</t>
  </si>
  <si>
    <t>Runtime files</t>
  </si>
  <si>
    <t>Runtime dependencies</t>
  </si>
  <si>
    <t>Last demo run</t>
  </si>
  <si>
    <t>Value</t>
  </si>
  <si>
    <t>Timestamp</t>
  </si>
  <si>
    <t>Status</t>
  </si>
  <si>
    <t>Error detail</t>
  </si>
  <si>
    <t>This demo requests data from https://pokeapi.co over the internet. Only the URLs shown are contacted; the runtime itself transmits nothing.</t>
  </si>
  <si>
    <t>Live HTTP examples</t>
  </si>
  <si>
    <t>Run RunROneCOneHttpDemo; column F validates every result.</t>
  </si>
  <si>
    <t>What it does</t>
  </si>
  <si>
    <t>C# equivalent (optional)</t>
  </si>
  <si>
    <t>ROneCOne VBA</t>
  </si>
  <si>
    <t>Expected</t>
  </si>
  <si>
    <t>Live result</t>
  </si>
  <si>
    <t>Download one resource</t>
  </si>
  <si>
    <t>var response = await client.GetAsync(url);</t>
  </si>
  <si>
    <t>Set response = client.GetAsync("pokemon/pikachu").Await</t>
  </si>
  <si>
    <t>200 OK</t>
  </si>
  <si>
    <t>Read the body as text</t>
  </si>
  <si>
    <t>await client.GetStringAsync(url)</t>
  </si>
  <si>
    <t>dittoJson = client.GetStringAsync("pokemon/ditto").Await</t>
  </si>
  <si>
    <t>Check before you trust</t>
  </si>
  <si>
    <t>response.EnsureSuccessStatusCode();</t>
  </si>
  <si>
    <t>response.EnsureSuccessStatusCode</t>
  </si>
  <si>
    <t>Read one header</t>
  </si>
  <si>
    <t>response.Content.Headers.ContentType</t>
  </si>
  <si>
    <t>response.Header("Content-Type")</t>
  </si>
  <si>
    <t>application/json; charset=utf-8</t>
  </si>
  <si>
    <t>Overlap three downloads</t>
  </si>
  <si>
    <t>await Task.WhenAll(first, second, third)</t>
  </si>
  <si>
    <t>Set responses = ROneCOne.Task.WhenAll( _
    bulbasaur, charmander, squirtle).Await</t>
  </si>
  <si>
    <t>bulbasaur, charmander, squirtle ready</t>
  </si>
  <si>
    <t>Handle a missing resource</t>
  </si>
  <si>
    <t>response.StatusCode == HttpStatusCode.NotFound</t>
  </si>
  <si>
    <t>client.GetAsync("pokemon/missingno").Await.StatusCode</t>
  </si>
  <si>
    <t>Catch a failed download</t>
  </si>
  <si>
    <t>try { await client.GetStringAsync(url); }
catch (HttpRequestException) { ... }</t>
  </si>
  <si>
    <t>On Error Resume Next
pending.Await
If Err.Number = ROneCOne.HttpRequestError Then ...</t>
  </si>
  <si>
    <t>skipped a missing resource</t>
  </si>
  <si>
    <t>Cancel a request</t>
  </si>
  <si>
    <t>cancelSource.Cancel();</t>
  </si>
  <si>
    <t>cancelSource.Cancel
Set pending = client.GetAsync( _
    "pokemon/eevee", cancelSource.Token)</t>
  </si>
  <si>
    <t>Reuse a base address</t>
  </si>
  <si>
    <t>client.BaseAddress = new Uri(baseUrl);</t>
  </si>
  <si>
    <t>client.BaseAddress = "https://pokeapi.co/api/v2/"
Set berry = client.GetAsync("berry/1").Await</t>
  </si>
  <si>
    <t>Read one JSON field</t>
  </si>
  <si>
    <t>JsonNode.Parse(json)["name"]</t>
  </si>
  <si>
    <t>Set tree = ROneCOne.Json.Deserialize(pikachuJson)
tree.Item("name")</t>
  </si>
  <si>
    <t>pikachu</t>
  </si>
  <si>
    <t>Turn a response into a table</t>
  </si>
  <si>
    <t>JsonSerializer.Deserialize&lt;List&lt;Ability&gt;&gt;(json)</t>
  </si>
  <si>
    <t>Set abilities = ROneCOne.Json.DeserializeTable( _
    pikachuJson, "Abilities", "$.abilities")</t>
  </si>
  <si>
    <t>Download a body to a file</t>
  </si>
  <si>
    <t>await client.GetStreamAsync(url).CopyToAsync(file)</t>
  </si>
  <si>
    <t>client.DownloadFileAsync( _
    "pokemon/pikachu", downloadPath).Await
ROneCOne.File.Exists(downloadPath)</t>
  </si>
  <si>
    <t>Escape a value for a query string</t>
  </si>
  <si>
    <t>Uri.EscapeDataString(value)</t>
  </si>
  <si>
    <t>ROneCOne.Uri.EscapeDataString("name=Ada &amp; Bo")</t>
  </si>
  <si>
    <t>name%3DAda%20%26%20Bo</t>
  </si>
  <si>
    <t>HTTP and async benchmark</t>
  </si>
  <si>
    <t>Measured in the same Excel process.</t>
  </si>
  <si>
    <t>Scenario</t>
  </si>
  <si>
    <t>Iterations</t>
  </si>
  <si>
    <t>Overlapped seconds</t>
  </si>
  <si>
    <t>Sequential seconds</t>
  </si>
  <si>
    <t>Three downloads from pokeapi.co</t>
  </si>
  <si>
    <t>Both columns time the same three downloads. Overlapped, all three are in flight inside WinHTTP at once while VBA waits; in sequence, each starts when the last one finishes. What overlapping saves depends on network latency, and fast responses can take the same time either way.</t>
  </si>
  <si>
    <t>Why deployment stays simple</t>
  </si>
  <si>
    <t>Every capability is contained in ROneCOne.cls.</t>
  </si>
  <si>
    <t>Invariant</t>
  </si>
  <si>
    <t>Decision</t>
  </si>
  <si>
    <t>Behavior</t>
  </si>
  <si>
    <t>Dependencies</t>
  </si>
  <si>
    <t>Single-file core</t>
  </si>
  <si>
    <t>ROneCOne.cls</t>
  </si>
  <si>
    <t>One import</t>
  </si>
  <si>
    <t>ENFORCED</t>
  </si>
  <si>
    <t>In-process transport</t>
  </si>
  <si>
    <t>WinHttp.WinHttpRequest.5.1</t>
  </si>
  <si>
    <t>No installs, add-ins, or references</t>
  </si>
  <si>
    <t>One VBA thread</t>
  </si>
  <si>
    <t>Cooperative Await</t>
  </si>
  <si>
    <t>Transfers overlap inside WinHTTP, never in VBA</t>
  </si>
  <si>
    <t>Explicit network use</t>
  </si>
  <si>
    <t>Only URLs you request</t>
  </si>
  <si>
    <t>The runtime never phones home</t>
  </si>
  <si>
    <t>Checked failures</t>
  </si>
  <si>
    <t>HttpRequestException</t>
  </si>
  <si>
    <t>Non-success raises a typed, catchable error</t>
  </si>
  <si>
    <t>PASS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</si>
</sst>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yyyy\-mm\-dd\ hh:mm:ss"/>
    <numFmt numFmtId="165" formatCode="0.000000"/>
  </numFmts>
  <fonts count="10">
    <font>
      <sz val="11"/>
      <name val="Carlito"/>
    </font>
    <font>
      <b/>
      <sz val="24"/>
      <color rgb="FFFFFFFF"/>
      <name val="Carlito"/>
    </font>
    <font>
      <i/>
      <sz val="11"/>
      <color rgb="FF1F2937"/>
      <name val="Carlito"/>
    </font>
    <font>
      <b/>
      <sz val="11"/>
      <color rgb="FFFFFFFF"/>
      <name val="Carlito"/>
    </font>
    <font>
      <b/>
      <sz val="11"/>
      <color rgb="FF1F2937"/>
      <name val="Carlito"/>
    </font>
    <font>
      <b/>
      <sz val="14"/>
      <color rgb="FF15803D"/>
      <name val="Carlito"/>
    </font>
    <font>
      <b/>
      <sz val="11"/>
      <color rgb="FF15803D"/>
      <name val="Carlito"/>
    </font>
    <font>
      <b/>
      <sz val="11"/>
      <color rgb="FF9A4A00"/>
      <name val="Carlito"/>
    </font>
    <font>
      <sz val="10"/>
      <color rgb="FF1F2937"/>
      <name val="Consolas"/>
    </font>
    <font>
      <sz val="11"/>
      <color rgb="FF9A4A00"/>
      <name val="Carlito"/>
    </font>
  </fonts>
  <fills count="8">
    <fill>
      <patternFill patternType="none"/>
    </fill>
    <fill>
      <patternFill patternType="gray125"/>
    </fill>
    <fill>
      <patternFill patternType="solid">
        <fgColor rgb="FF152238"/>
      </patternFill>
    </fill>
    <fill>
      <patternFill patternType="solid">
        <fgColor rgb="FFEAF7F6"/>
      </patternFill>
    </fill>
    <fill>
      <patternFill patternType="solid">
        <fgColor rgb="FF00A6A6"/>
      </patternFill>
    </fill>
    <fill>
      <patternFill patternType="solid">
        <fgColor rgb="FFFF8C42"/>
      </patternFill>
    </fill>
    <fill>
      <patternFill patternType="solid">
        <fgColor rgb="FFFFF4E8"/>
      </patternFill>
    </fill>
    <fill>
      <patternFill patternType="solid">
        <fgColor rgb="FFF8FAFC"/>
      </patternFill>
    </fill>
  </fills>
  <borders count="5">
    <border>
      <left/>
      <right/>
      <top/>
      <bottom/>
      <diagonal/>
    </border>
    <border>
      <left style="thin">
        <color rgb="FF00A6A6"/>
      </left>
      <right/>
      <top style="thin">
        <color rgb="FF00A6A6"/>
      </top>
      <bottom style="thin">
        <color rgb="FF00A6A6"/>
      </bottom>
      <diagonal/>
    </border>
    <border>
      <left/>
      <right/>
      <top style="thin">
        <color rgb="FF00A6A6"/>
      </top>
      <bottom style="thin">
        <color rgb="FF00A6A6"/>
      </bottom>
      <diagonal/>
    </border>
    <border>
      <left/>
      <right style="thin">
        <color rgb="FF00A6A6"/>
      </right>
      <top style="thin">
        <color rgb="FF00A6A6"/>
      </top>
      <bottom style="thin">
        <color rgb="FF00A6A6"/>
      </bottom>
      <diagonal/>
    </border>
    <border>
      <left style="thin">
        <color rgb="FFD7E1EA"/>
      </left>
      <right style="thin">
        <color rgb="FFD7E1EA"/>
      </right>
      <top style="thin">
        <color rgb="FFD7E1EA"/>
      </top>
      <bottom style="thin">
        <color rgb="FFD7E1EA"/>
      </bottom>
      <diagonal/>
    </border>
  </borders>
  <cellStyleXfs count="1">
    <xf numFmtId="0" fontId="0" fillId="0" borderId="0"/>
  </cellStyleXfs>
  <cellXfs count="24">
    <xf numFmtId="0" fontId="0" fillId="0" borderId="0" xfId="0"/>
    <xf numFmtId="0" fontId="0" fillId="0" borderId="4" xfId="0" applyBorder="1"/>
    <xf numFmtId="0" fontId="3" fillId="2" borderId="4" xfId="0" applyFont="1" applyFill="1" applyBorder="1" applyAlignment="1">
      <alignment wrapText="1"/>
    </xf>
    <xf numFmtId="0" fontId="0" fillId="0" borderId="0" xfId="0" applyAlignment="1">
      <alignment vertical="center"/>
    </xf>
    <xf numFmtId="0" fontId="3" fillId="5" borderId="4" xfId="0" applyFont="1" applyFill="1" applyBorder="1" applyAlignment="1">
      <alignment horizontal="center" vertical="center" wrapText="1"/>
    </xf>
    <xf numFmtId="0" fontId="0" fillId="0" borderId="4" xfId="0" applyBorder="1" applyAlignment="1">
      <alignment vertical="center" wrapText="1"/>
    </xf>
    <xf numFmtId="0" fontId="4" fillId="0" borderId="4" xfId="0" applyFont="1" applyBorder="1" applyAlignment="1">
      <alignment vertical="center"/>
    </xf>
    <xf numFmtId="0" fontId="5" fillId="3" borderId="4" xfId="0" applyFont="1" applyFill="1" applyBorder="1" applyAlignment="1">
      <alignment horizontal="center" vertical="center"/>
    </xf>
    <xf numFmtId="0" fontId="0" fillId="0" borderId="4" xfId="0" applyBorder="1" applyAlignment="1">
      <alignment vertical="center"/>
    </xf>
    <xf numFmtId="0" fontId="3" fillId="2" borderId="4" xfId="0" applyFont="1" applyFill="1" applyBorder="1" applyAlignment="1">
      <alignment vertical="center" wrapText="1"/>
    </xf>
    <xf numFmtId="164" fontId="0" fillId="0" borderId="4" xfId="0" applyNumberFormat="1" applyBorder="1" applyAlignment="1">
      <alignment vertical="center" wrapText="1"/>
    </xf>
    <xf numFmtId="0" fontId="6" fillId="3" borderId="4" xfId="0" applyFont="1" applyFill="1" applyBorder="1" applyAlignment="1">
      <alignment vertical="center" wrapText="1"/>
    </xf>
    <xf numFmtId="0" fontId="0" fillId="0" borderId="4" xfId="0" applyBorder="1" applyAlignment="1">
      <alignment vertical="top" wrapText="1"/>
    </xf>
    <xf numFmtId="0" fontId="8" fillId="7" borderId="4" xfId="0" applyFont="1" applyFill="1" applyBorder="1" applyAlignment="1">
      <alignment vertical="top" wrapText="1"/>
    </xf>
    <xf numFmtId="3" fontId="0" fillId="0" borderId="4" xfId="0" applyNumberFormat="1" applyBorder="1"/>
    <xf numFmtId="165" fontId="0" fillId="0" borderId="4" xfId="0" applyNumberFormat="1" applyBorder="1"/>
    <xf numFmtId="0" fontId="6" fillId="3" borderId="4" xfId="0" applyFont="1" applyFill="1" applyBorder="1" applyAlignment="1">
      <alignment vertical="top" wrapText="1"/>
    </xf>
    <xf numFmtId="0" fontId="1" fillId="2" borderId="0" xfId="0" applyFont="1" applyFill="1" applyAlignment="1">
      <alignment vertical="center"/>
    </xf>
    <xf numFmtId="0" fontId="2" fillId="3" borderId="0" xfId="0" applyFont="1" applyFill="1" applyAlignment="1">
      <alignment vertical="center"/>
    </xf>
    <xf numFmtId="0" fontId="3" fillId="4" borderId="1" xfId="0" applyFont="1" applyFill="1" applyBorder="1" applyAlignment="1">
      <alignment vertical="center"/>
    </xf>
    <xf numFmtId="0" fontId="3" fillId="4" borderId="2" xfId="0" applyFont="1" applyFill="1" applyBorder="1" applyAlignment="1">
      <alignment vertical="center"/>
    </xf>
    <xf numFmtId="0" fontId="3" fillId="4" borderId="3" xfId="0" applyFont="1" applyFill="1" applyBorder="1" applyAlignment="1">
      <alignment vertical="center"/>
    </xf>
    <xf numFmtId="0" fontId="7" fillId="6" borderId="0" xfId="0" applyFont="1" applyFill="1" applyAlignment="1">
      <alignment vertical="center" wrapText="1"/>
    </xf>
    <xf numFmtId="0" fontId="9" fillId="6" borderId="0" xfId="0" applyFont="1" applyFill="1" applyAlignment="1">
      <alignment vertical="center" wrapText="1"/>
    </xf>
  </cellXfs>
  <cellStyles count="1">
    <cellStyle name="Normal" xfId="0" builtinId="0"/>
  </cellStyles>
  <dxfs count="3">
    <dxf>
      <font>
        <b/>
        <color rgb="FF9A4A00"/>
      </font>
      <fill>
        <patternFill patternType="solid">
          <bgColor rgb="FFFFF4E8"/>
        </patternFill>
      </fill>
    </dxf>
    <dxf>
      <font>
        <b/>
        <color rgb="FFB91C1C"/>
      </font>
      <fill>
        <patternFill patternType="solid">
          <bgColor rgb="FFFEE2E2"/>
        </patternFill>
      </fill>
    </dxf>
    <dxf>
      <font>
        <b/>
        <color rgb="FF15803D"/>
      </font>
      <fill>
        <patternFill patternType="solid">
          <bgColor rgb="FFDCFCE7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ChatGPT">
  <a:themeElements>
    <a:clrScheme name="ChatGPT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Calibri Light"/>
        <a:ea typeface="Calibri Light"/>
        <a:cs typeface="Calibri Light"/>
      </a:majorFont>
      <a:minorFont>
        <a:latin typeface="Calibri"/>
        <a:ea typeface="Calibri"/>
        <a:cs typeface="Calibri"/>
      </a:minorFont>
    </a:fontScheme>
    <a:fmtScheme name="ChatGPT">
      <a:fillStyleLst>
        <a:solidFill>
          <a:schemeClr val="phClr"/>
        </a:solidFill>
        <a:gradFill>
          <a:gsLst>
            <a:gs pos="0">
              <a:schemeClr val="phClr">
                <a:tint val="67000"/>
                <a:lumMod val="110000"/>
                <a:satMod val="105000"/>
              </a:schemeClr>
            </a:gs>
            <a:gs pos="50000">
              <a:schemeClr val="phClr">
                <a:tint val="73000"/>
                <a:lumMod val="105000"/>
                <a:satMod val="103000"/>
              </a:schemeClr>
            </a:gs>
            <a:gs pos="100000">
              <a:schemeClr val="phClr">
                <a:tint val="81000"/>
                <a:lumMod val="105000"/>
                <a:satMod val="109000"/>
              </a:schemeClr>
            </a:gs>
          </a:gsLst>
          <a:lin ang="5400000" scaled="0"/>
        </a:gradFill>
        <a:gradFill>
          <a:gsLst>
            <a:gs pos="0">
              <a:schemeClr val="phClr">
                <a:tint val="94000"/>
                <a:lumMod val="102000"/>
                <a:satMod val="103000"/>
              </a:schemeClr>
            </a:gs>
            <a:gs pos="50000">
              <a:schemeClr val="phClr">
                <a:shade val="100000"/>
                <a:lumMod val="100000"/>
                <a:satMod val="110000"/>
              </a:schemeClr>
            </a:gs>
            <a:gs pos="100000">
              <a:schemeClr val="phClr">
                <a:shade val="78000"/>
                <a:lumMod val="99000"/>
                <a:satMod val="120000"/>
              </a:schemeClr>
            </a:gs>
          </a:gsLst>
          <a:lin ang="5400000" scaled="0"/>
        </a:gradFill>
      </a:fillStyleLst>
      <a:lnStyleLst>
        <a:ln w="12700">
          <a:solidFill>
            <a:schemeClr val="phClr"/>
          </a:solidFill>
          <a:prstDash val="solid"/>
        </a:ln>
        <a:ln w="19050">
          <a:solidFill>
            <a:schemeClr val="phClr"/>
          </a:solidFill>
          <a:prstDash val="solid"/>
        </a:ln>
        <a:ln w="25400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  <a:satMod val="150000"/>
              </a:schemeClr>
            </a:gs>
            <a:gs pos="50000">
              <a:schemeClr val="phClr">
                <a:tint val="98000"/>
                <a:shade val="90000"/>
                <a:lumMod val="103000"/>
                <a:satMod val="130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16"/>
  <sheetViews>
    <sheetView showGridLines="0" tabSelected="1" workbookViewId="0">
      <pane ySplit="3" topLeftCell="A4" activePane="bottomLeft" state="frozen"/>
      <selection pane="bottomLeft" sqref="A1:H2"/>
    </sheetView>
  </sheetViews>
  <sheetFormatPr defaultRowHeight="14.25"/>
  <cols>
    <col min="1" max="1" width="16" customWidth="1"/>
    <col min="2" max="2" width="34" customWidth="1"/>
    <col min="3" max="4" width="26" customWidth="1"/>
    <col min="6" max="6" width="26" customWidth="1"/>
    <col min="7" max="8" width="19" customWidth="1"/>
  </cols>
  <sheetData>
    <row r="1" spans="1:8" ht="24" customHeight="1">
      <c r="A1" s="17" t="s">
        <v>0</v>
      </c>
      <c r="B1" s="17"/>
      <c r="C1" s="17"/>
      <c r="D1" s="17"/>
      <c r="E1" s="17"/>
      <c r="F1" s="17"/>
      <c r="G1" s="17"/>
      <c r="H1" s="17"/>
    </row>
    <row r="2" spans="1:8" ht="24" customHeight="1">
      <c r="A2" s="17"/>
      <c r="B2" s="17"/>
      <c r="C2" s="17"/>
      <c r="D2" s="17"/>
      <c r="E2" s="17"/>
      <c r="F2" s="17"/>
      <c r="G2" s="17"/>
      <c r="H2" s="17"/>
    </row>
    <row r="3" spans="1:8" ht="24" customHeight="1">
      <c r="A3" s="18" t="s">
        <v>1</v>
      </c>
      <c r="B3" s="18"/>
      <c r="C3" s="18"/>
      <c r="D3" s="18"/>
      <c r="E3" s="18"/>
      <c r="F3" s="18"/>
      <c r="G3" s="18"/>
      <c r="H3" s="18"/>
    </row>
    <row r="4" spans="1:8">
      <c r="A4" s="3"/>
      <c r="B4" s="3"/>
      <c r="C4" s="3"/>
      <c r="D4" s="3"/>
      <c r="E4" s="3"/>
      <c r="F4" s="3"/>
      <c r="G4" s="3"/>
      <c r="H4" s="3"/>
    </row>
    <row r="5" spans="1:8" ht="15">
      <c r="A5" s="19" t="s">
        <v>2</v>
      </c>
      <c r="B5" s="20"/>
      <c r="C5" s="20"/>
      <c r="D5" s="21"/>
      <c r="E5" s="3"/>
      <c r="F5" s="19" t="s">
        <v>3</v>
      </c>
      <c r="G5" s="20"/>
      <c r="H5" s="21"/>
    </row>
    <row r="6" spans="1:8" ht="33.950000000000003" customHeight="1">
      <c r="A6" s="4" t="s">
        <v>4</v>
      </c>
      <c r="B6" s="5" t="s">
        <v>5</v>
      </c>
      <c r="C6" s="5" t="s">
        <v>6</v>
      </c>
      <c r="D6" s="5"/>
      <c r="E6" s="3"/>
      <c r="F6" s="6" t="s">
        <v>7</v>
      </c>
      <c r="G6" s="7">
        <f>COUNTIF(Examples!F6:F18,"PASS")</f>
        <v>13</v>
      </c>
      <c r="H6" s="3"/>
    </row>
    <row r="7" spans="1:8" ht="33.950000000000003" customHeight="1">
      <c r="A7" s="4" t="s">
        <v>8</v>
      </c>
      <c r="B7" s="5" t="s">
        <v>9</v>
      </c>
      <c r="C7" s="5" t="s">
        <v>10</v>
      </c>
      <c r="D7" s="5"/>
      <c r="E7" s="3"/>
      <c r="F7" s="6" t="s">
        <v>11</v>
      </c>
      <c r="G7" s="7">
        <f>COUNTA(Examples!A6:A18)</f>
        <v>13</v>
      </c>
      <c r="H7" s="3"/>
    </row>
    <row r="8" spans="1:8" ht="33.950000000000003" customHeight="1">
      <c r="A8" s="4" t="s">
        <v>12</v>
      </c>
      <c r="B8" s="5" t="s">
        <v>13</v>
      </c>
      <c r="C8" s="5" t="s">
        <v>14</v>
      </c>
      <c r="D8" s="5"/>
      <c r="E8" s="3"/>
      <c r="F8" s="6" t="s">
        <v>15</v>
      </c>
      <c r="G8" s="8" t="s">
        <v>16</v>
      </c>
      <c r="H8" s="3"/>
    </row>
    <row r="9" spans="1:8" ht="33.950000000000003" customHeight="1">
      <c r="A9" s="4" t="s">
        <v>17</v>
      </c>
      <c r="B9" s="5" t="s">
        <v>18</v>
      </c>
      <c r="C9" s="5" t="s">
        <v>19</v>
      </c>
      <c r="D9" s="5"/>
      <c r="E9" s="3"/>
      <c r="F9" s="6" t="s">
        <v>20</v>
      </c>
      <c r="G9" s="8">
        <v>1</v>
      </c>
      <c r="H9" s="3"/>
    </row>
    <row r="10" spans="1:8" ht="33.950000000000003" customHeight="1">
      <c r="A10" s="3"/>
      <c r="B10" s="3"/>
      <c r="C10" s="3"/>
      <c r="D10" s="3"/>
      <c r="E10" s="3"/>
      <c r="F10" s="6" t="s">
        <v>21</v>
      </c>
      <c r="G10" s="8">
        <v>0</v>
      </c>
      <c r="H10" s="3"/>
    </row>
    <row r="11" spans="1:8" ht="15">
      <c r="A11" s="9" t="s">
        <v>22</v>
      </c>
      <c r="B11" s="9" t="s">
        <v>23</v>
      </c>
      <c r="C11" s="3"/>
      <c r="D11" s="3"/>
      <c r="E11" s="3"/>
      <c r="F11" s="3"/>
      <c r="G11" s="3"/>
      <c r="H11" s="3"/>
    </row>
    <row r="12" spans="1:8">
      <c r="A12" s="5" t="s">
        <v>24</v>
      </c>
      <c r="B12" s="10">
        <v>46293.90079861111</v>
      </c>
      <c r="C12" s="3"/>
      <c r="D12" s="3"/>
      <c r="E12" s="3"/>
      <c r="F12" s="3"/>
      <c r="G12" s="3"/>
      <c r="H12" s="3"/>
    </row>
    <row r="13" spans="1:8" ht="15">
      <c r="A13" s="5" t="s">
        <v>25</v>
      </c>
      <c r="B13" s="11" t="s">
        <v>110</v>
      </c>
      <c r="C13" s="3"/>
      <c r="D13" s="3"/>
      <c r="E13" s="3"/>
      <c r="F13" s="3"/>
      <c r="G13" s="3"/>
      <c r="H13" s="3"/>
    </row>
    <row r="14" spans="1:8">
      <c r="A14" s="5" t="s">
        <v>26</v>
      </c>
      <c r="B14" s="5"/>
      <c r="C14" s="3"/>
      <c r="D14" s="3"/>
      <c r="E14" s="3"/>
      <c r="F14" s="3"/>
      <c r="G14" s="3"/>
      <c r="H14" s="3"/>
    </row>
    <row r="15" spans="1:8">
      <c r="A15" s="3"/>
      <c r="B15" s="3"/>
      <c r="C15" s="3"/>
      <c r="D15" s="3"/>
      <c r="E15" s="3"/>
      <c r="F15" s="3"/>
      <c r="G15" s="3"/>
      <c r="H15" s="3"/>
    </row>
    <row r="16" spans="1:8" ht="15">
      <c r="A16" s="22" t="s">
        <v>27</v>
      </c>
      <c r="B16" s="22"/>
      <c r="C16" s="22"/>
      <c r="D16" s="22"/>
      <c r="E16" s="22"/>
      <c r="F16" s="22"/>
      <c r="G16" s="22"/>
      <c r="H16" s="22"/>
    </row>
  </sheetData>
  <mergeCells count="5">
    <mergeCell ref="A1:H2"/>
    <mergeCell ref="A3:H3"/>
    <mergeCell ref="A5:D5"/>
    <mergeCell ref="F5:H5"/>
    <mergeCell ref="A16:H16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F18"/>
  <sheetViews>
    <sheetView showGridLines="0" workbookViewId="0">
      <pane ySplit="5" topLeftCell="A6" activePane="bottomLeft" state="frozen"/>
      <selection pane="bottomLeft"/>
    </sheetView>
  </sheetViews>
  <sheetFormatPr defaultRowHeight="14.25"/>
  <cols>
    <col min="1" max="1" width="22" customWidth="1"/>
    <col min="2" max="2" width="47" customWidth="1"/>
    <col min="3" max="3" width="61" customWidth="1"/>
    <col min="4" max="5" width="31" customWidth="1"/>
    <col min="6" max="6" width="14" customWidth="1"/>
  </cols>
  <sheetData>
    <row r="1" spans="1:6" ht="24" customHeight="1">
      <c r="A1" s="17" t="s">
        <v>28</v>
      </c>
      <c r="B1" s="17"/>
      <c r="C1" s="17"/>
      <c r="D1" s="17"/>
      <c r="E1" s="17"/>
      <c r="F1" s="17"/>
    </row>
    <row r="2" spans="1:6" ht="24" customHeight="1">
      <c r="A2" s="17"/>
      <c r="B2" s="17"/>
      <c r="C2" s="17"/>
      <c r="D2" s="17"/>
      <c r="E2" s="17"/>
      <c r="F2" s="17"/>
    </row>
    <row r="3" spans="1:6" ht="24" customHeight="1">
      <c r="A3" s="18" t="s">
        <v>29</v>
      </c>
      <c r="B3" s="18"/>
      <c r="C3" s="18"/>
      <c r="D3" s="18"/>
      <c r="E3" s="18"/>
      <c r="F3" s="18"/>
    </row>
    <row r="5" spans="1:6" ht="15">
      <c r="A5" s="2" t="s">
        <v>30</v>
      </c>
      <c r="B5" s="2" t="s">
        <v>31</v>
      </c>
      <c r="C5" s="2" t="s">
        <v>32</v>
      </c>
      <c r="D5" s="2" t="s">
        <v>33</v>
      </c>
      <c r="E5" s="2" t="s">
        <v>34</v>
      </c>
      <c r="F5" s="2" t="s">
        <v>25</v>
      </c>
    </row>
    <row r="6" spans="1:6" ht="62.1" customHeight="1">
      <c r="A6" s="12" t="s">
        <v>35</v>
      </c>
      <c r="B6" s="12" t="s">
        <v>36</v>
      </c>
      <c r="C6" s="13" t="s">
        <v>37</v>
      </c>
      <c r="D6" s="12" t="s">
        <v>38</v>
      </c>
      <c r="E6" s="12" t="s">
        <v>38</v>
      </c>
      <c r="F6" s="12" t="str">
        <f t="shared" ref="F6:F18" si="0">IF(E6="","NOT RUN",IF(E6=D6,"PASS","CHECK"))</f>
        <v>PASS</v>
      </c>
    </row>
    <row r="7" spans="1:6" ht="62.1" customHeight="1">
      <c r="A7" s="12" t="s">
        <v>39</v>
      </c>
      <c r="B7" s="12" t="s">
        <v>40</v>
      </c>
      <c r="C7" s="13" t="s">
        <v>41</v>
      </c>
      <c r="D7" s="12" t="b">
        <f>TRUE</f>
        <v>1</v>
      </c>
      <c r="E7" s="12" t="b">
        <v>1</v>
      </c>
      <c r="F7" s="12" t="str">
        <f t="shared" si="0"/>
        <v>PASS</v>
      </c>
    </row>
    <row r="8" spans="1:6" ht="62.1" customHeight="1">
      <c r="A8" s="12" t="s">
        <v>42</v>
      </c>
      <c r="B8" s="12" t="s">
        <v>43</v>
      </c>
      <c r="C8" s="13" t="s">
        <v>44</v>
      </c>
      <c r="D8" s="12" t="b">
        <f>TRUE</f>
        <v>1</v>
      </c>
      <c r="E8" s="12" t="b">
        <v>1</v>
      </c>
      <c r="F8" s="12" t="str">
        <f t="shared" si="0"/>
        <v>PASS</v>
      </c>
    </row>
    <row r="9" spans="1:6" ht="62.1" customHeight="1">
      <c r="A9" s="12" t="s">
        <v>45</v>
      </c>
      <c r="B9" s="12" t="s">
        <v>46</v>
      </c>
      <c r="C9" s="13" t="s">
        <v>47</v>
      </c>
      <c r="D9" s="12" t="s">
        <v>48</v>
      </c>
      <c r="E9" s="12" t="s">
        <v>48</v>
      </c>
      <c r="F9" s="12" t="str">
        <f t="shared" si="0"/>
        <v>PASS</v>
      </c>
    </row>
    <row r="10" spans="1:6" ht="62.1" customHeight="1">
      <c r="A10" s="12" t="s">
        <v>49</v>
      </c>
      <c r="B10" s="12" t="s">
        <v>50</v>
      </c>
      <c r="C10" s="13" t="s">
        <v>51</v>
      </c>
      <c r="D10" s="12" t="s">
        <v>52</v>
      </c>
      <c r="E10" s="12" t="s">
        <v>52</v>
      </c>
      <c r="F10" s="12" t="str">
        <f t="shared" si="0"/>
        <v>PASS</v>
      </c>
    </row>
    <row r="11" spans="1:6" ht="62.1" customHeight="1">
      <c r="A11" s="12" t="s">
        <v>53</v>
      </c>
      <c r="B11" s="12" t="s">
        <v>54</v>
      </c>
      <c r="C11" s="13" t="s">
        <v>55</v>
      </c>
      <c r="D11" s="12">
        <v>404</v>
      </c>
      <c r="E11" s="12">
        <v>404</v>
      </c>
      <c r="F11" s="12" t="str">
        <f t="shared" si="0"/>
        <v>PASS</v>
      </c>
    </row>
    <row r="12" spans="1:6" ht="62.1" customHeight="1">
      <c r="A12" s="12" t="s">
        <v>56</v>
      </c>
      <c r="B12" s="12" t="s">
        <v>57</v>
      </c>
      <c r="C12" s="13" t="s">
        <v>58</v>
      </c>
      <c r="D12" s="12" t="s">
        <v>59</v>
      </c>
      <c r="E12" s="12" t="s">
        <v>59</v>
      </c>
      <c r="F12" s="12" t="str">
        <f t="shared" si="0"/>
        <v>PASS</v>
      </c>
    </row>
    <row r="13" spans="1:6" ht="62.1" customHeight="1">
      <c r="A13" s="12" t="s">
        <v>60</v>
      </c>
      <c r="B13" s="12" t="s">
        <v>61</v>
      </c>
      <c r="C13" s="13" t="s">
        <v>62</v>
      </c>
      <c r="D13" s="12" t="b">
        <f>TRUE</f>
        <v>1</v>
      </c>
      <c r="E13" s="12" t="b">
        <v>1</v>
      </c>
      <c r="F13" s="12" t="str">
        <f t="shared" si="0"/>
        <v>PASS</v>
      </c>
    </row>
    <row r="14" spans="1:6" ht="62.1" customHeight="1">
      <c r="A14" s="12" t="s">
        <v>63</v>
      </c>
      <c r="B14" s="12" t="s">
        <v>64</v>
      </c>
      <c r="C14" s="13" t="s">
        <v>65</v>
      </c>
      <c r="D14" s="12" t="b">
        <f>TRUE</f>
        <v>1</v>
      </c>
      <c r="E14" s="12" t="b">
        <v>1</v>
      </c>
      <c r="F14" s="12" t="str">
        <f t="shared" si="0"/>
        <v>PASS</v>
      </c>
    </row>
    <row r="15" spans="1:6" ht="62.1" customHeight="1">
      <c r="A15" s="12" t="s">
        <v>66</v>
      </c>
      <c r="B15" s="12" t="s">
        <v>67</v>
      </c>
      <c r="C15" s="13" t="s">
        <v>68</v>
      </c>
      <c r="D15" s="12" t="s">
        <v>69</v>
      </c>
      <c r="E15" s="12" t="s">
        <v>69</v>
      </c>
      <c r="F15" s="12" t="str">
        <f t="shared" si="0"/>
        <v>PASS</v>
      </c>
    </row>
    <row r="16" spans="1:6" ht="62.1" customHeight="1">
      <c r="A16" s="12" t="s">
        <v>70</v>
      </c>
      <c r="B16" s="12" t="s">
        <v>71</v>
      </c>
      <c r="C16" s="13" t="s">
        <v>72</v>
      </c>
      <c r="D16" s="12" t="b">
        <f>TRUE</f>
        <v>1</v>
      </c>
      <c r="E16" s="12" t="b">
        <v>1</v>
      </c>
      <c r="F16" s="12" t="str">
        <f t="shared" si="0"/>
        <v>PASS</v>
      </c>
    </row>
    <row r="17" spans="1:6" ht="62.1" customHeight="1">
      <c r="A17" s="12" t="s">
        <v>73</v>
      </c>
      <c r="B17" s="12" t="s">
        <v>74</v>
      </c>
      <c r="C17" s="13" t="s">
        <v>75</v>
      </c>
      <c r="D17" s="12" t="b">
        <f>TRUE</f>
        <v>1</v>
      </c>
      <c r="E17" s="12" t="b">
        <v>1</v>
      </c>
      <c r="F17" s="12" t="str">
        <f t="shared" si="0"/>
        <v>PASS</v>
      </c>
    </row>
    <row r="18" spans="1:6" ht="62.1" customHeight="1">
      <c r="A18" s="12" t="s">
        <v>76</v>
      </c>
      <c r="B18" s="12" t="s">
        <v>77</v>
      </c>
      <c r="C18" s="13" t="s">
        <v>78</v>
      </c>
      <c r="D18" s="12" t="s">
        <v>79</v>
      </c>
      <c r="E18" s="12" t="s">
        <v>79</v>
      </c>
      <c r="F18" s="12" t="str">
        <f t="shared" si="0"/>
        <v>PASS</v>
      </c>
    </row>
  </sheetData>
  <mergeCells count="2">
    <mergeCell ref="A1:F2"/>
    <mergeCell ref="A3:F3"/>
  </mergeCells>
  <conditionalFormatting sqref="F6:F18">
    <cfRule type="containsText" dxfId="2" priority="1" operator="containsText" text="PASS"/>
    <cfRule type="containsText" dxfId="1" priority="2" operator="containsText" text="CHECK"/>
    <cfRule type="containsText" dxfId="0" priority="3" operator="containsText" text="NOT RUN"/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F8"/>
  <sheetViews>
    <sheetView showGridLines="0" workbookViewId="0">
      <pane ySplit="5" topLeftCell="A6" activePane="bottomLeft" state="frozen"/>
      <selection pane="bottomLeft"/>
    </sheetView>
  </sheetViews>
  <sheetFormatPr defaultRowHeight="14.25"/>
  <cols>
    <col min="1" max="1" width="44" customWidth="1"/>
    <col min="2" max="4" width="23" customWidth="1"/>
  </cols>
  <sheetData>
    <row r="1" spans="1:6" ht="24" customHeight="1">
      <c r="A1" s="17" t="s">
        <v>80</v>
      </c>
      <c r="B1" s="17"/>
      <c r="C1" s="17"/>
      <c r="D1" s="17"/>
      <c r="E1" s="17"/>
      <c r="F1" s="17"/>
    </row>
    <row r="2" spans="1:6" ht="24" customHeight="1">
      <c r="A2" s="17"/>
      <c r="B2" s="17"/>
      <c r="C2" s="17"/>
      <c r="D2" s="17"/>
      <c r="E2" s="17"/>
      <c r="F2" s="17"/>
    </row>
    <row r="3" spans="1:6" ht="24" customHeight="1">
      <c r="A3" s="18" t="s">
        <v>81</v>
      </c>
      <c r="B3" s="18"/>
      <c r="C3" s="18"/>
      <c r="D3" s="18"/>
      <c r="E3" s="18"/>
      <c r="F3" s="18"/>
    </row>
    <row r="5" spans="1:6" ht="15">
      <c r="A5" s="2" t="s">
        <v>82</v>
      </c>
      <c r="B5" s="2" t="s">
        <v>83</v>
      </c>
      <c r="C5" s="2" t="s">
        <v>84</v>
      </c>
      <c r="D5" s="2" t="s">
        <v>85</v>
      </c>
    </row>
    <row r="6" spans="1:6">
      <c r="A6" s="1" t="s">
        <v>86</v>
      </c>
      <c r="B6" s="14">
        <v>3</v>
      </c>
      <c r="C6" s="15">
        <v>0.4296875</v>
      </c>
      <c r="D6" s="15">
        <v>0.375</v>
      </c>
    </row>
    <row r="8" spans="1:6" ht="48" customHeight="1">
      <c r="A8" s="23" t="s">
        <v>87</v>
      </c>
      <c r="B8" s="23"/>
      <c r="C8" s="23"/>
      <c r="D8" s="23"/>
      <c r="E8" s="23"/>
      <c r="F8" s="23"/>
    </row>
  </sheetData>
  <mergeCells count="3">
    <mergeCell ref="A1:F2"/>
    <mergeCell ref="A3:F3"/>
    <mergeCell ref="A8:F8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F10"/>
  <sheetViews>
    <sheetView showGridLines="0" workbookViewId="0"/>
  </sheetViews>
  <sheetFormatPr defaultRowHeight="14.25"/>
  <cols>
    <col min="1" max="1" width="22" customWidth="1"/>
    <col min="2" max="2" width="32" customWidth="1"/>
    <col min="3" max="3" width="40" customWidth="1"/>
    <col min="4" max="6" width="18" customWidth="1"/>
  </cols>
  <sheetData>
    <row r="1" spans="1:6" ht="24" customHeight="1">
      <c r="A1" s="17" t="s">
        <v>88</v>
      </c>
      <c r="B1" s="17"/>
      <c r="C1" s="17"/>
      <c r="D1" s="17"/>
      <c r="E1" s="17"/>
      <c r="F1" s="17"/>
    </row>
    <row r="2" spans="1:6" ht="24" customHeight="1">
      <c r="A2" s="17"/>
      <c r="B2" s="17"/>
      <c r="C2" s="17"/>
      <c r="D2" s="17"/>
      <c r="E2" s="17"/>
      <c r="F2" s="17"/>
    </row>
    <row r="3" spans="1:6" ht="24" customHeight="1">
      <c r="A3" s="18" t="s">
        <v>89</v>
      </c>
      <c r="B3" s="18"/>
      <c r="C3" s="18"/>
      <c r="D3" s="18"/>
      <c r="E3" s="18"/>
      <c r="F3" s="18"/>
    </row>
    <row r="5" spans="1:6" ht="15">
      <c r="A5" s="2" t="s">
        <v>90</v>
      </c>
      <c r="B5" s="2" t="s">
        <v>91</v>
      </c>
      <c r="C5" s="2" t="s">
        <v>92</v>
      </c>
      <c r="D5" s="2" t="s">
        <v>25</v>
      </c>
      <c r="E5" s="2" t="s">
        <v>20</v>
      </c>
      <c r="F5" s="2" t="s">
        <v>93</v>
      </c>
    </row>
    <row r="6" spans="1:6" ht="32.1" customHeight="1">
      <c r="A6" s="12" t="s">
        <v>94</v>
      </c>
      <c r="B6" s="12" t="s">
        <v>95</v>
      </c>
      <c r="C6" s="12" t="s">
        <v>96</v>
      </c>
      <c r="D6" s="16" t="s">
        <v>97</v>
      </c>
      <c r="E6" s="12">
        <v>1</v>
      </c>
      <c r="F6" s="12">
        <v>0</v>
      </c>
    </row>
    <row r="7" spans="1:6" ht="32.1" customHeight="1">
      <c r="A7" s="12" t="s">
        <v>98</v>
      </c>
      <c r="B7" s="12" t="s">
        <v>99</v>
      </c>
      <c r="C7" s="12" t="s">
        <v>100</v>
      </c>
      <c r="D7" s="16" t="s">
        <v>97</v>
      </c>
      <c r="E7" s="12">
        <v>1</v>
      </c>
      <c r="F7" s="12">
        <v>0</v>
      </c>
    </row>
    <row r="8" spans="1:6" ht="32.1" customHeight="1">
      <c r="A8" s="12" t="s">
        <v>101</v>
      </c>
      <c r="B8" s="12" t="s">
        <v>102</v>
      </c>
      <c r="C8" s="12" t="s">
        <v>103</v>
      </c>
      <c r="D8" s="16" t="s">
        <v>97</v>
      </c>
      <c r="E8" s="12">
        <v>1</v>
      </c>
      <c r="F8" s="12">
        <v>0</v>
      </c>
    </row>
    <row r="9" spans="1:6" ht="32.1" customHeight="1">
      <c r="A9" s="12" t="s">
        <v>104</v>
      </c>
      <c r="B9" s="12" t="s">
        <v>105</v>
      </c>
      <c r="C9" s="12" t="s">
        <v>106</v>
      </c>
      <c r="D9" s="16" t="s">
        <v>97</v>
      </c>
      <c r="E9" s="12">
        <v>1</v>
      </c>
      <c r="F9" s="12">
        <v>0</v>
      </c>
    </row>
    <row r="10" spans="1:6" ht="32.1" customHeight="1">
      <c r="A10" s="12" t="s">
        <v>107</v>
      </c>
      <c r="B10" s="12" t="s">
        <v>108</v>
      </c>
      <c r="C10" s="12" t="s">
        <v>109</v>
      </c>
      <c r="D10" s="16" t="s">
        <v>97</v>
      </c>
      <c r="E10" s="12">
        <v>1</v>
      </c>
      <c r="F10" s="12">
        <v>0</v>
      </c>
    </row>
  </sheetData>
  <mergeCells count="2">
    <mergeCell ref="A1:F2"/>
    <mergeCell ref="A3:F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Start Here</vt:lpstr>
      <vt:lpstr>Examples</vt:lpstr>
      <vt:lpstr>Benchmarks</vt:lpstr>
      <vt:lpstr>Architecture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William Smith</cp:lastModifiedBy>
  <dcterms:created xsi:type="dcterms:W3CDTF">2026-09-24T00:16:50Z</dcterms:created>
  <dcterms:modified xsi:type="dcterms:W3CDTF">2026-09-29T04:37:10Z</dcterms:modified>
</cp:coreProperties>
</file>