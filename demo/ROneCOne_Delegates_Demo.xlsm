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.working\"/>
    </mc:Choice>
  </mc:AlternateContent>
  <xr:revisionPtr revIDLastSave="0" documentId="13_ncr:1_{5B585BF3-EB6F-435F-B0B4-A8826ACE4477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<sst xmlns="http://schemas.openxmlformats.org/spreadsheetml/2006/main" count="118" uniqueCount="109">
  <si>
    <t>ROneCOne Delegates</t>
  </si>
  <si>
    <t>Frictionless C#-style Func expressions in one dependency-free VBA file</t>
  </si>
  <si>
    <t>Run the living demo</t>
  </si>
  <si>
    <t>Live status</t>
  </si>
  <si>
    <t>1</t>
  </si>
  <si>
    <t>Press Alt+F8</t>
  </si>
  <si>
    <t>Open Excel's Macro dialog</t>
  </si>
  <si>
    <t>Examples passing</t>
  </si>
  <si>
    <t>2</t>
  </si>
  <si>
    <t>Run RunROneCOneDemo</t>
  </si>
  <si>
    <t>Executes every example and benchmark</t>
  </si>
  <si>
    <t>Examples total</t>
  </si>
  <si>
    <t>3</t>
  </si>
  <si>
    <t>Review Examples</t>
  </si>
  <si>
    <t>Live results recalculate their PASS status</t>
  </si>
  <si>
    <t>Feature slice</t>
  </si>
  <si>
    <t>Delegates + expressions</t>
  </si>
  <si>
    <t>4</t>
  </si>
  <si>
    <t>Import ROneCOne.cls</t>
  </si>
  <si>
    <t>The runtime itself is still one file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</si>
  <si>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</si>
  <si>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</si>
  <si>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</si>
  <si>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</si>
  <si>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</si>
  <si>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</si>
  <si>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</si>
  <si>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Privacy invariant: no telemetry, no network transmission, and no runtime VBIDE access.</t>
  </si>
  <si>
    <t>Live delegate examples</t>
  </si>
  <si>
    <t>Column E is written by RunROneCOneDemo; column F checks the result with worksheet formulas.</t>
  </si>
  <si>
    <t>Pattern</t>
  </si>
  <si>
    <t>C# idea</t>
  </si>
  <si>
    <t>ROneCOne VBA</t>
  </si>
  <si>
    <t>Expected</t>
  </si>
  <si>
    <t>Live result</t>
  </si>
  <si>
    <t>Unary lambda</t>
  </si>
  <si>
    <t>x =&gt; x * x</t>
  </si>
  <si>
    <t>Set x = ROneCOne.Var(vbLong)
Set square = x.Multiply(x).AsFunc
square(9)</t>
  </si>
  <si>
    <t>Binary lambda</t>
  </si>
  <si>
    <t>(x, y) =&gt; x + y</t>
  </si>
  <si>
    <t>Set addValues = x.Add(y).AsFunc
addValues(6, 7)</t>
  </si>
  <si>
    <t>Boolean expression</t>
  </si>
  <si>
    <t>x &gt;= 10 &amp;&amp; x &lt; 20</t>
  </si>
  <si>
    <t>x.AtLeast(10).AndAlso(x.LessThan(20)).AsFunc</t>
  </si>
  <si>
    <t>Short circuit</t>
  </si>
  <si>
    <t>false &amp;&amp; (1 / 0)</t>
  </si>
  <si>
    <t>ROneCOne.Value(False).AndAlso(...).AsFunc</t>
  </si>
  <si>
    <t>Method delegate</t>
  </si>
  <si>
    <t>new Func&lt;int,int,int&gt;(Max)</t>
  </si>
  <si>
    <t>ROneCOne.FromMethod(WorksheetFunction, "Max", 2)</t>
  </si>
  <si>
    <t>Composition</t>
  </si>
  <si>
    <t>square.Then(double)</t>
  </si>
  <si>
    <t>square.PipeTo(doubleValue)(3)</t>
  </si>
  <si>
    <t>Invocation benchmark</t>
  </si>
  <si>
    <t>Measured inside the same Excel process; no worker Excel instances are launched.</t>
  </si>
  <si>
    <t>Scenario</t>
  </si>
  <si>
    <t>Invocations</t>
  </si>
  <si>
    <t>Seconds</t>
  </si>
  <si>
    <t>Last result</t>
  </si>
  <si>
    <t>Invocations / second</t>
  </si>
  <si>
    <t>square(x) inferred AsFunc delegate</t>
  </si>
  <si>
    <t>This benchmark tracks expression-delegate overhead as a release-to-release performance baseline.</t>
  </si>
  <si>
    <t>One-file architecture</t>
  </si>
  <si>
    <t>One tagged object kernel represents factory, value, expression, delegate, and collection roles.</t>
  </si>
  <si>
    <t>Invariant</t>
  </si>
  <si>
    <t>Decision</t>
  </si>
  <si>
    <t>Why it matters</t>
  </si>
  <si>
    <t>Current status</t>
  </si>
  <si>
    <t>Runtime installs</t>
  </si>
  <si>
    <t>Single-file core</t>
  </si>
  <si>
    <t>ROneCOne.cls</t>
  </si>
  <si>
    <t>One import operation</t>
  </si>
  <si>
    <t>ENFORCED</t>
  </si>
  <si>
    <t>No runtime VBIDE</t>
  </si>
  <si>
    <t>Expression trees</t>
  </si>
  <si>
    <t>Works without trusted project access</t>
  </si>
  <si>
    <t>Syntax sugar</t>
  </si>
  <si>
    <t>Inferred typed Func parameters</t>
  </si>
  <si>
    <t>Minimal developer ceremony</t>
  </si>
  <si>
    <t>One Excel process</t>
  </si>
  <si>
    <t>Single-process execution contract</t>
  </si>
  <si>
    <t>No multi-instance parallelism</t>
  </si>
  <si>
    <t>Privacy</t>
  </si>
  <si>
    <t>Local-only opt-in logs</t>
  </si>
  <si>
    <t>Never transmits workbook data</t>
  </si>
  <si>
    <t>Workbook formats</t>
  </si>
  <si>
    <t>.xlsm / .xlsb / .xlam</t>
  </si>
  <si>
    <t>Normal VBA remains unchanged</t>
  </si>
  <si>
    <t>SUPPORTED CONTRACT</t>
  </si>
  <si>
    <t>Milestone</t>
  </si>
  <si>
    <t>Capability</t>
  </si>
  <si>
    <t>Release status</t>
  </si>
  <si>
    <t>Depends on</t>
  </si>
  <si>
    <t>Delegates + expression lambdas</t>
  </si>
  <si>
    <t>AVAILABLE (v0.1.0)</t>
  </si>
  <si>
    <t>Tagged object kernel</t>
  </si>
  <si>
    <t>Runtime-generic List&lt;T&gt; + LINQ</t>
  </si>
  <si>
    <t>AVAILABLE (v0.2.0)</t>
  </si>
  <si>
    <t>Delegates</t>
  </si>
  <si>
    <t>Inferred Func + LINQ syntax sugar</t>
  </si>
  <si>
    <t>AVAILABLE (v0.3.0)</t>
  </si>
  <si>
    <t>Delegates + collections</t>
  </si>
  <si>
    <t>Try / Catch / Finally</t>
  </si>
  <si>
    <t>SCHEDULED</t>
  </si>
  <si>
    <t>Tasks / async / await / cancellation</t>
  </si>
  <si>
    <t>Exceptions + delegates</t>
  </si>
  <si>
    <t>Events / disposables / native-safe parallelism</t>
  </si>
  <si>
    <t>Tasks + collections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</si>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</sst>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3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wrapText="1"/>
    </xf>
  </cellXfs>
  <cellStyles count="1">
    <cellStyle name="Normal" xfId="0" builtinId="0"/>
  </cellStyles>
  <dxfs count="2"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22" customWidth="1"/>
    <col min="3" max="4" width="28" customWidth="1"/>
    <col min="5" max="5" width="3" customWidth="1"/>
    <col min="6" max="6" width="22" customWidth="1"/>
    <col min="7" max="8" width="19" customWidth="1"/>
  </cols>
  <sheetData>
    <row r="1" spans="1:8" ht="24" customHeight="1">
      <c r="A1" s="19" t="s">
        <v>0</v>
      </c>
      <c r="B1" s="19"/>
      <c r="C1" s="19"/>
      <c r="D1" s="19"/>
      <c r="E1" s="19"/>
      <c r="F1" s="19"/>
      <c r="G1" s="19"/>
      <c r="H1" s="19"/>
    </row>
    <row r="2" spans="1:8" ht="24" customHeight="1">
      <c r="A2" s="19"/>
      <c r="B2" s="19"/>
      <c r="C2" s="19"/>
      <c r="D2" s="19"/>
      <c r="E2" s="19"/>
      <c r="F2" s="19"/>
      <c r="G2" s="19"/>
      <c r="H2" s="19"/>
    </row>
    <row r="3" spans="1:8" ht="24" customHeight="1">
      <c r="A3" s="20" t="s">
        <v>1</v>
      </c>
      <c r="B3" s="20"/>
      <c r="C3" s="20"/>
      <c r="D3" s="20"/>
      <c r="E3" s="20"/>
      <c r="F3" s="20"/>
      <c r="G3" s="20"/>
      <c r="H3" s="20"/>
    </row>
    <row r="4" spans="1:8">
      <c r="A4" s="4"/>
      <c r="B4" s="4"/>
      <c r="C4" s="4"/>
      <c r="D4" s="4"/>
      <c r="E4" s="4"/>
      <c r="F4" s="4"/>
      <c r="G4" s="4"/>
      <c r="H4" s="4"/>
    </row>
    <row r="5" spans="1:8">
      <c r="A5" s="21" t="s">
        <v>2</v>
      </c>
      <c r="B5" s="22"/>
      <c r="C5" s="22"/>
      <c r="D5" s="23"/>
      <c r="E5" s="4"/>
      <c r="F5" s="21" t="s">
        <v>3</v>
      </c>
      <c r="G5" s="22"/>
      <c r="H5" s="23"/>
    </row>
    <row r="6" spans="1:8" ht="28" customHeight="1">
      <c r="A6" s="5" t="s">
        <v>4</v>
      </c>
      <c r="B6" s="6" t="s">
        <v>5</v>
      </c>
      <c r="C6" s="6" t="s">
        <v>6</v>
      </c>
      <c r="D6" s="6"/>
      <c r="E6" s="4"/>
      <c r="F6" s="7" t="s">
        <v>7</v>
      </c>
      <c r="G6" s="8">
        <f>COUNTIF(Examples!F6:F11,"PASS")</f>
        <v>6</v>
      </c>
      <c r="H6" s="4"/>
    </row>
    <row r="7" spans="1:8" ht="28" customHeight="1">
      <c r="A7" s="5" t="s">
        <v>8</v>
      </c>
      <c r="B7" s="6" t="s">
        <v>9</v>
      </c>
      <c r="C7" s="6" t="s">
        <v>10</v>
      </c>
      <c r="D7" s="6"/>
      <c r="E7" s="4"/>
      <c r="F7" s="7" t="s">
        <v>11</v>
      </c>
      <c r="G7" s="8">
        <f>COUNTA(Examples!A6:A11)</f>
        <v>6</v>
      </c>
      <c r="H7" s="4"/>
    </row>
    <row r="8" spans="1:8" ht="28" customHeight="1">
      <c r="A8" s="5" t="s">
        <v>12</v>
      </c>
      <c r="B8" s="6" t="s">
        <v>13</v>
      </c>
      <c r="C8" s="6" t="s">
        <v>14</v>
      </c>
      <c r="D8" s="6"/>
      <c r="E8" s="4"/>
      <c r="F8" s="7" t="s">
        <v>15</v>
      </c>
      <c r="G8" s="9" t="s">
        <v>16</v>
      </c>
      <c r="H8" s="4"/>
    </row>
    <row r="9" spans="1:8" ht="28" customHeight="1">
      <c r="A9" s="5" t="s">
        <v>17</v>
      </c>
      <c r="B9" s="6" t="s">
        <v>18</v>
      </c>
      <c r="C9" s="6" t="s">
        <v>19</v>
      </c>
      <c r="D9" s="6"/>
      <c r="E9" s="4"/>
      <c r="F9" s="7" t="s">
        <v>20</v>
      </c>
      <c r="G9" s="9">
        <v>1</v>
      </c>
      <c r="H9" s="4"/>
    </row>
    <row r="10" spans="1:8" ht="28" customHeight="1">
      <c r="A10" s="4"/>
      <c r="B10" s="4"/>
      <c r="C10" s="4"/>
      <c r="D10" s="4"/>
      <c r="E10" s="4"/>
      <c r="F10" s="7" t="s">
        <v>21</v>
      </c>
      <c r="G10" s="9">
        <v>0</v>
      </c>
      <c r="H10" s="4"/>
    </row>
    <row r="11" spans="1:8">
      <c r="A11" s="10" t="s">
        <v>22</v>
      </c>
      <c r="B11" s="10" t="s">
        <v>23</v>
      </c>
      <c r="C11" s="4"/>
      <c r="D11" s="4"/>
      <c r="E11" s="4"/>
      <c r="F11" s="4"/>
      <c r="G11" s="4"/>
      <c r="H11" s="4"/>
    </row>
    <row r="12" spans="1:8">
      <c r="A12" s="6" t="s">
        <v>24</v>
      </c>
      <c r="B12" s="11">
        <v>46221.911851851852</v>
      </c>
      <c r="C12" s="4"/>
      <c r="D12" s="4"/>
      <c r="E12" s="4"/>
      <c r="F12" s="4"/>
      <c r="G12" s="4"/>
      <c r="H12" s="4"/>
    </row>
    <row r="13" spans="1:8">
      <c r="A13" s="6" t="s">
        <v>25</v>
      </c>
      <c r="B13" s="12" t="s">
        <v>108</v>
      </c>
      <c r="C13" s="4"/>
      <c r="D13" s="4"/>
      <c r="E13" s="4"/>
      <c r="F13" s="4"/>
      <c r="G13" s="4"/>
      <c r="H13" s="4"/>
    </row>
    <row r="14" spans="1:8">
      <c r="A14" s="6" t="s">
        <v>26</v>
      </c>
      <c r="B14" s="6"/>
      <c r="C14" s="4"/>
      <c r="D14" s="4"/>
      <c r="E14" s="4"/>
      <c r="F14" s="4"/>
      <c r="G14" s="4"/>
      <c r="H14" s="4"/>
    </row>
    <row r="15" spans="1:8">
      <c r="A15" s="4"/>
      <c r="B15" s="4"/>
      <c r="C15" s="4"/>
      <c r="D15" s="4"/>
      <c r="E15" s="4"/>
      <c r="F15" s="4"/>
      <c r="G15" s="4"/>
      <c r="H15" s="4"/>
    </row>
    <row r="16" spans="1:8">
      <c r="A16" s="24" t="s">
        <v>27</v>
      </c>
      <c r="B16" s="24"/>
      <c r="C16" s="24"/>
      <c r="D16" s="24"/>
      <c r="E16" s="24"/>
      <c r="F16" s="24"/>
      <c r="G16" s="24"/>
      <c r="H16" s="24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1"/>
  <sheetViews>
    <sheetView showGridLines="0" workbookViewId="0"/>
  </sheetViews>
  <sheetFormatPr defaultRowHeight="14"/>
  <cols>
    <col min="1" max="1" width="20" customWidth="1"/>
    <col min="2" max="2" width="25" customWidth="1"/>
    <col min="3" max="3" width="52" customWidth="1"/>
    <col min="4" max="6" width="15" customWidth="1"/>
  </cols>
  <sheetData>
    <row r="1" spans="1:6" ht="24" customHeight="1">
      <c r="A1" s="19" t="s">
        <v>28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29</v>
      </c>
      <c r="B3" s="20"/>
      <c r="C3" s="20"/>
      <c r="D3" s="20"/>
      <c r="E3" s="20"/>
      <c r="F3" s="20"/>
    </row>
    <row r="5" spans="1:6">
      <c r="A5" s="3" t="s">
        <v>30</v>
      </c>
      <c r="B5" s="3" t="s">
        <v>31</v>
      </c>
      <c r="C5" s="3" t="s">
        <v>32</v>
      </c>
      <c r="D5" s="3" t="s">
        <v>33</v>
      </c>
      <c r="E5" s="3" t="s">
        <v>34</v>
      </c>
      <c r="F5" s="3" t="s">
        <v>25</v>
      </c>
    </row>
    <row r="6" spans="1:6" ht="50" customHeight="1">
      <c r="A6" s="13" t="s">
        <v>35</v>
      </c>
      <c r="B6" s="13" t="s">
        <v>36</v>
      </c>
      <c r="C6" s="15" t="s">
        <v>37</v>
      </c>
      <c r="D6" s="13">
        <v>81</v>
      </c>
      <c r="E6" s="13">
        <v>81</v>
      </c>
      <c r="F6" s="13" t="str">
        <f t="shared" ref="F6:F11" si="0">IF(E6="","NOT RUN",IF(E6=D6,"PASS","CHECK"))</f>
        <v>PASS</v>
      </c>
    </row>
    <row r="7" spans="1:6" ht="50" customHeight="1">
      <c r="A7" s="13" t="s">
        <v>38</v>
      </c>
      <c r="B7" s="13" t="s">
        <v>39</v>
      </c>
      <c r="C7" s="15" t="s">
        <v>40</v>
      </c>
      <c r="D7" s="13">
        <v>13</v>
      </c>
      <c r="E7" s="13">
        <v>13</v>
      </c>
      <c r="F7" s="13" t="str">
        <f t="shared" si="0"/>
        <v>PASS</v>
      </c>
    </row>
    <row r="8" spans="1:6" ht="50" customHeight="1">
      <c r="A8" s="13" t="s">
        <v>41</v>
      </c>
      <c r="B8" s="13" t="s">
        <v>42</v>
      </c>
      <c r="C8" s="15" t="s">
        <v>43</v>
      </c>
      <c r="D8" s="14" t="b">
        <v>1</v>
      </c>
      <c r="E8" s="13" t="b">
        <v>1</v>
      </c>
      <c r="F8" s="13" t="str">
        <f t="shared" si="0"/>
        <v>PASS</v>
      </c>
    </row>
    <row r="9" spans="1:6" ht="50" customHeight="1">
      <c r="A9" s="13" t="s">
        <v>44</v>
      </c>
      <c r="B9" s="13" t="s">
        <v>45</v>
      </c>
      <c r="C9" s="15" t="s">
        <v>46</v>
      </c>
      <c r="D9" s="14" t="b">
        <v>0</v>
      </c>
      <c r="E9" s="13" t="b">
        <v>0</v>
      </c>
      <c r="F9" s="13" t="str">
        <f t="shared" si="0"/>
        <v>PASS</v>
      </c>
    </row>
    <row r="10" spans="1:6" ht="50" customHeight="1">
      <c r="A10" s="13" t="s">
        <v>47</v>
      </c>
      <c r="B10" s="13" t="s">
        <v>48</v>
      </c>
      <c r="C10" s="15" t="s">
        <v>49</v>
      </c>
      <c r="D10" s="13">
        <v>7</v>
      </c>
      <c r="E10" s="13">
        <v>7</v>
      </c>
      <c r="F10" s="13" t="str">
        <f t="shared" si="0"/>
        <v>PASS</v>
      </c>
    </row>
    <row r="11" spans="1:6" ht="50" customHeight="1">
      <c r="A11" s="13" t="s">
        <v>50</v>
      </c>
      <c r="B11" s="13" t="s">
        <v>51</v>
      </c>
      <c r="C11" s="15" t="s">
        <v>52</v>
      </c>
      <c r="D11" s="13">
        <v>18</v>
      </c>
      <c r="E11" s="13">
        <v>18</v>
      </c>
      <c r="F11" s="13" t="str">
        <f t="shared" si="0"/>
        <v>PASS</v>
      </c>
    </row>
  </sheetData>
  <mergeCells count="2">
    <mergeCell ref="A1:F2"/>
    <mergeCell ref="A3:F3"/>
  </mergeCells>
  <conditionalFormatting sqref="F6:F11">
    <cfRule type="containsText" dxfId="1" priority="1" operator="containsText" text="PASS"/>
    <cfRule type="containsText" dxfId="0" priority="2" operator="containsText" text="CHECK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/>
  </sheetViews>
  <sheetFormatPr defaultRowHeight="14"/>
  <cols>
    <col min="1" max="1" width="34" customWidth="1"/>
    <col min="2" max="5" width="20" customWidth="1"/>
    <col min="6" max="6" width="3" customWidth="1"/>
  </cols>
  <sheetData>
    <row r="1" spans="1:6" ht="24" customHeight="1">
      <c r="A1" s="19" t="s">
        <v>53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54</v>
      </c>
      <c r="B3" s="20"/>
      <c r="C3" s="20"/>
      <c r="D3" s="20"/>
      <c r="E3" s="20"/>
      <c r="F3" s="20"/>
    </row>
    <row r="5" spans="1:6">
      <c r="A5" s="3" t="s">
        <v>55</v>
      </c>
      <c r="B5" s="3" t="s">
        <v>56</v>
      </c>
      <c r="C5" s="3" t="s">
        <v>57</v>
      </c>
      <c r="D5" s="3" t="s">
        <v>58</v>
      </c>
      <c r="E5" s="3" t="s">
        <v>59</v>
      </c>
    </row>
    <row r="6" spans="1:6">
      <c r="A6" s="1" t="s">
        <v>60</v>
      </c>
      <c r="B6" s="1">
        <v>10000</v>
      </c>
      <c r="C6" s="16">
        <v>8.59375E-2</v>
      </c>
      <c r="D6" s="1">
        <v>100000000</v>
      </c>
      <c r="E6" s="17">
        <f>IF(C6=0,0,B6/C6)</f>
        <v>116363.63636363637</v>
      </c>
    </row>
    <row r="8" spans="1:6" ht="42" customHeight="1">
      <c r="A8" s="25" t="s">
        <v>61</v>
      </c>
      <c r="B8" s="25"/>
      <c r="C8" s="25"/>
      <c r="D8" s="25"/>
      <c r="E8" s="25"/>
      <c r="F8" s="25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showGridLines="0" workbookViewId="0"/>
  </sheetViews>
  <sheetFormatPr defaultRowHeight="14"/>
  <cols>
    <col min="1" max="1" width="22" customWidth="1"/>
    <col min="2" max="2" width="40" customWidth="1"/>
    <col min="3" max="3" width="24" customWidth="1"/>
    <col min="4" max="4" width="32" customWidth="1"/>
    <col min="5" max="6" width="16" customWidth="1"/>
  </cols>
  <sheetData>
    <row r="1" spans="1:6" ht="24" customHeight="1">
      <c r="A1" s="19" t="s">
        <v>62</v>
      </c>
      <c r="B1" s="19"/>
      <c r="C1" s="19"/>
      <c r="D1" s="19"/>
      <c r="E1" s="19"/>
      <c r="F1" s="19"/>
    </row>
    <row r="2" spans="1:6" ht="24" customHeight="1">
      <c r="A2" s="19"/>
      <c r="B2" s="19"/>
      <c r="C2" s="19"/>
      <c r="D2" s="19"/>
      <c r="E2" s="19"/>
      <c r="F2" s="19"/>
    </row>
    <row r="3" spans="1:6" ht="24" customHeight="1">
      <c r="A3" s="20" t="s">
        <v>63</v>
      </c>
      <c r="B3" s="20"/>
      <c r="C3" s="20"/>
      <c r="D3" s="20"/>
      <c r="E3" s="20"/>
      <c r="F3" s="20"/>
    </row>
    <row r="5" spans="1:6">
      <c r="A5" s="3" t="s">
        <v>64</v>
      </c>
      <c r="B5" s="3" t="s">
        <v>65</v>
      </c>
      <c r="C5" s="3" t="s">
        <v>66</v>
      </c>
      <c r="D5" s="3" t="s">
        <v>67</v>
      </c>
      <c r="E5" s="3" t="s">
        <v>20</v>
      </c>
      <c r="F5" s="3" t="s">
        <v>68</v>
      </c>
    </row>
    <row r="6" spans="1:6" ht="42" customHeight="1">
      <c r="A6" s="13" t="s">
        <v>69</v>
      </c>
      <c r="B6" s="13" t="s">
        <v>70</v>
      </c>
      <c r="C6" s="13" t="s">
        <v>71</v>
      </c>
      <c r="D6" s="18" t="s">
        <v>72</v>
      </c>
      <c r="E6" s="13">
        <v>1</v>
      </c>
      <c r="F6" s="13">
        <v>0</v>
      </c>
    </row>
    <row r="7" spans="1:6" ht="42" customHeight="1">
      <c r="A7" s="13" t="s">
        <v>73</v>
      </c>
      <c r="B7" s="13" t="s">
        <v>74</v>
      </c>
      <c r="C7" s="13" t="s">
        <v>75</v>
      </c>
      <c r="D7" s="18" t="s">
        <v>72</v>
      </c>
      <c r="E7" s="13">
        <v>1</v>
      </c>
      <c r="F7" s="13">
        <v>0</v>
      </c>
    </row>
    <row r="8" spans="1:6" ht="42" customHeight="1">
      <c r="A8" s="13" t="s">
        <v>76</v>
      </c>
      <c r="B8" s="13" t="s">
        <v>77</v>
      </c>
      <c r="C8" s="13" t="s">
        <v>78</v>
      </c>
      <c r="D8" s="18" t="s">
        <v>72</v>
      </c>
      <c r="E8" s="13">
        <v>1</v>
      </c>
      <c r="F8" s="13">
        <v>0</v>
      </c>
    </row>
    <row r="9" spans="1:6" ht="42" customHeight="1">
      <c r="A9" s="13" t="s">
        <v>79</v>
      </c>
      <c r="B9" s="13" t="s">
        <v>80</v>
      </c>
      <c r="C9" s="13" t="s">
        <v>81</v>
      </c>
      <c r="D9" s="18" t="s">
        <v>72</v>
      </c>
      <c r="E9" s="13">
        <v>1</v>
      </c>
      <c r="F9" s="13">
        <v>0</v>
      </c>
    </row>
    <row r="10" spans="1:6" ht="42" customHeight="1">
      <c r="A10" s="13" t="s">
        <v>82</v>
      </c>
      <c r="B10" s="13" t="s">
        <v>83</v>
      </c>
      <c r="C10" s="13" t="s">
        <v>84</v>
      </c>
      <c r="D10" s="18" t="s">
        <v>72</v>
      </c>
      <c r="E10" s="13">
        <v>1</v>
      </c>
      <c r="F10" s="13">
        <v>0</v>
      </c>
    </row>
    <row r="11" spans="1:6" ht="42" customHeight="1">
      <c r="A11" s="13" t="s">
        <v>85</v>
      </c>
      <c r="B11" s="13" t="s">
        <v>86</v>
      </c>
      <c r="C11" s="13" t="s">
        <v>87</v>
      </c>
      <c r="D11" s="18" t="s">
        <v>88</v>
      </c>
      <c r="E11" s="13">
        <v>1</v>
      </c>
      <c r="F11" s="13">
        <v>0</v>
      </c>
    </row>
    <row r="12" spans="1:6">
      <c r="A12" s="3" t="s">
        <v>89</v>
      </c>
      <c r="B12" s="3" t="s">
        <v>90</v>
      </c>
      <c r="C12" s="3" t="s">
        <v>91</v>
      </c>
      <c r="D12" s="3" t="s">
        <v>92</v>
      </c>
    </row>
    <row r="13" spans="1:6">
      <c r="A13" s="2">
        <v>1</v>
      </c>
      <c r="B13" s="2" t="s">
        <v>93</v>
      </c>
      <c r="C13" s="2" t="s">
        <v>94</v>
      </c>
      <c r="D13" s="2" t="s">
        <v>95</v>
      </c>
    </row>
    <row r="14" spans="1:6">
      <c r="A14" s="2">
        <v>2</v>
      </c>
      <c r="B14" s="2" t="s">
        <v>96</v>
      </c>
      <c r="C14" s="2" t="s">
        <v>97</v>
      </c>
      <c r="D14" s="2" t="s">
        <v>98</v>
      </c>
    </row>
    <row r="15" spans="1:6">
      <c r="A15" s="2">
        <v>3</v>
      </c>
      <c r="B15" s="2" t="s">
        <v>99</v>
      </c>
      <c r="C15" s="2" t="s">
        <v>100</v>
      </c>
      <c r="D15" s="2" t="s">
        <v>101</v>
      </c>
    </row>
    <row r="16" spans="1:6">
      <c r="A16" s="2">
        <v>4</v>
      </c>
      <c r="B16" s="2" t="s">
        <v>102</v>
      </c>
      <c r="C16" s="2" t="s">
        <v>103</v>
      </c>
      <c r="D16" s="2" t="s">
        <v>98</v>
      </c>
    </row>
    <row r="17" spans="1:4">
      <c r="A17" s="2">
        <v>5</v>
      </c>
      <c r="B17" s="2" t="s">
        <v>104</v>
      </c>
      <c r="C17" s="2" t="s">
        <v>103</v>
      </c>
      <c r="D17" s="2" t="s">
        <v>105</v>
      </c>
    </row>
    <row r="18" spans="1:4">
      <c r="A18" s="2">
        <v>6</v>
      </c>
      <c r="B18" s="2" t="s">
        <v>106</v>
      </c>
      <c r="C18" s="2" t="s">
        <v>103</v>
      </c>
      <c r="D18" s="2" t="s">
        <v>107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2026-07-19T04:52:16Z</dcterms:created>
  <dcterms:modified xsi:type="dcterms:W3CDTF">2026-07-19T04:53:04Z</dcterms:modified>
</cp:coreProperties>
</file>