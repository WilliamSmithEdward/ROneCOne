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AFAB48FF-31BE-476A-A540-ABF92949D674}" xr6:coauthVersionLast="47" xr6:coauthVersionMax="47" xr10:uidLastSave="{00000000-0000-0000-0000-000000000000}"/>
  <bookViews>
    <workbookView xWindow="1170" yWindow="1170" windowWidth="19440" windowHeight="11220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4" i="2" l="1"/>
  <c r="F13" i="2"/>
  <c r="F12" i="2"/>
  <c r="F11" i="2"/>
  <c r="F10" i="2"/>
  <c r="F9" i="2"/>
  <c r="F8" i="2"/>
  <c r="F7" i="2"/>
  <c r="F6" i="2"/>
  <c r="G7" i="1"/>
  <c r="G6" i="1"/>
</calcChain>
</file>

<file path=xl/sharedStrings.xml><?xml version="1.0" encoding="utf-8"?>
<sst xmlns="http://schemas.openxmlformats.org/spreadsheetml/2006/main" count="103" uniqueCount="93">
  <si>
    <t>ROneCOne Query</t>
  </si>
  <si>
    <t>LINQ that compiles to SQL and runs on the server, offline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</si>
  <si>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</si>
  <si>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</si>
  <si>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</si>
  <si>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</si>
  <si>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</si>
  <si>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</si>
  <si>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</si>
  <si>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RunROneCOneQueryDemo</t>
  </si>
  <si>
    <t>Fills in every result for you</t>
  </si>
  <si>
    <t>Examples total</t>
  </si>
  <si>
    <t>3</t>
  </si>
  <si>
    <t>Review Examples</t>
  </si>
  <si>
    <t>PASS confirms that each result worked</t>
  </si>
  <si>
    <t>Feature slice</t>
  </si>
  <si>
    <t>Query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</si>
  <si>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</si>
  <si>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</si>
  <si>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</si>
  <si>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</si>
  <si>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</si>
  <si>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</si>
  <si>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</si>
  <si>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</si>
  <si>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</si>
  <si>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</si>
  <si>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Your data stays local: no telemetry, network transmission, or runtime VBIDE access.</t>
  </si>
  <si>
    <t>Live query examples</t>
  </si>
  <si>
    <t>Run RunROneCOneQueryDemo; column F validates every result.</t>
  </si>
  <si>
    <t>What it does</t>
  </si>
  <si>
    <t>C# equivalent (optional)</t>
  </si>
  <si>
    <t>ROneCOne VBA</t>
  </si>
  <si>
    <t>Expected</t>
  </si>
  <si>
    <t>Live result</t>
  </si>
  <si>
    <t>A filter becomes SQL</t>
  </si>
  <si>
    <t>Where(...).ToSqlString</t>
  </si>
  <si>
    <t>orders.Where("Total").AtLeast(10).ToSqlString</t>
  </si>
  <si>
    <t>SELECT * FROM [Orders$] WHERE ([Total] &gt;= ?)</t>
  </si>
  <si>
    <t>The server does the filtering</t>
  </si>
  <si>
    <t>Where(...).Count</t>
  </si>
  <si>
    <t>orders.Where("Total").AtLeast(10).Count</t>
  </si>
  <si>
    <t>Composition never mutates the base</t>
  </si>
  <si>
    <t>base.Where(...) leaves base alone</t>
  </si>
  <si>
    <t>baseQuery.Count after deriving a narrower query</t>
  </si>
  <si>
    <t>Ordering and paging translate</t>
  </si>
  <si>
    <t>OrderBy(...).Take(n)</t>
  </si>
  <si>
    <t>orders.OrderBy("Id").Take(2).ToDataTable.Rows.Count</t>
  </si>
  <si>
    <t>Projection picks columns</t>
  </si>
  <si>
    <t>SelectColumns(...)</t>
  </si>
  <si>
    <t>orders.SelectColumns("Name", "Total").Take(1) _
    .ToDataTable.Columns.Count</t>
  </si>
  <si>
    <t>A quote stays data, never SQL</t>
  </si>
  <si>
    <t>parameterized ? marker</t>
  </si>
  <si>
    <t>orders.Where("Name").EqualTo("x' OR '1'='1").Count</t>
  </si>
  <si>
    <t>Null becomes IS NULL</t>
  </si>
  <si>
    <t>EqualTo(Null)</t>
  </si>
  <si>
    <t>orders.Where("Note").EqualTo(Null).Count</t>
  </si>
  <si>
    <t>A literal percent is escaped</t>
  </si>
  <si>
    <t>ContainsText("100%")</t>
  </si>
  <si>
    <t>orders.Where("Name").ContainsText("100%").Count</t>
  </si>
  <si>
    <t>Untranslatable expressions refuse</t>
  </si>
  <si>
    <t>ROneCOne.QueryError</t>
  </si>
  <si>
    <t>On Error Resume Next
orders.Where(orders.Condition("Name.Length") _
    .AtLeast(1)).Count</t>
  </si>
  <si>
    <t>refused, not scanned locally</t>
  </si>
  <si>
    <t>Query benchmark</t>
  </si>
  <si>
    <t>Measured in the same Excel process.</t>
  </si>
  <si>
    <t>Scenario</t>
  </si>
  <si>
    <t>Iterations</t>
  </si>
  <si>
    <t>Seconds</t>
  </si>
  <si>
    <t>Matching rows</t>
  </si>
  <si>
    <t>Count 50,000 rows server-side</t>
  </si>
  <si>
    <t>Why deployment stays simple</t>
  </si>
  <si>
    <t>Every capability is contained in ROneCOne.cls.</t>
  </si>
  <si>
    <t>Invariant</t>
  </si>
  <si>
    <t>Decision</t>
  </si>
  <si>
    <t>Behavior</t>
  </si>
  <si>
    <t>Dependencies</t>
  </si>
  <si>
    <t>Single-file core</t>
  </si>
  <si>
    <t>ROneCOne.cls</t>
  </si>
  <si>
    <t>One import</t>
  </si>
  <si>
    <t>ENFORCED</t>
  </si>
  <si>
    <t>No new dependency</t>
  </si>
  <si>
    <t>Existing OLE DB path</t>
  </si>
  <si>
    <t>DbCommand and DbDataAdapter unchanged</t>
  </si>
  <si>
    <t>Values are parameters</t>
  </si>
  <si>
    <t>? markers only</t>
  </si>
  <si>
    <t>A captured value can never be read as SQL</t>
  </si>
  <si>
    <t>Inspectable</t>
  </si>
  <si>
    <t>ToSqlString</t>
  </si>
  <si>
    <t>The exact statement is visible before it runs</t>
  </si>
  <si>
    <t>Refusal over fallback</t>
  </si>
  <si>
    <t>Untranslatable expressions refuse, never scan locally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</si>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</sst>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9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0" borderId="4" xfId="0" applyBorder="1"/>
    <xf numFmtId="0" fontId="0" fillId="0" borderId="4" xfId="0" applyBorder="1" applyAlignment="1">
      <alignment wrapText="1"/>
    </xf>
    <xf numFmtId="0" fontId="3" fillId="5" borderId="4" xfId="0" applyFont="1" applyFill="1" applyBorder="1" applyAlignment="1">
      <alignment horizontal="center" wrapText="1"/>
    </xf>
    <xf numFmtId="0" fontId="4" fillId="0" borderId="4" xfId="0" applyFont="1" applyBorder="1"/>
    <xf numFmtId="0" fontId="5" fillId="3" borderId="4" xfId="0" applyFont="1" applyFill="1" applyBorder="1" applyAlignment="1">
      <alignment horizontal="center"/>
    </xf>
    <xf numFmtId="0" fontId="3" fillId="2" borderId="4" xfId="0" applyFont="1" applyFill="1" applyBorder="1" applyAlignment="1">
      <alignment wrapText="1"/>
    </xf>
    <xf numFmtId="164" fontId="0" fillId="0" borderId="4" xfId="0" applyNumberFormat="1" applyBorder="1" applyAlignment="1">
      <alignment wrapText="1"/>
    </xf>
    <xf numFmtId="0" fontId="6" fillId="3" borderId="4" xfId="0" applyFont="1" applyFill="1" applyBorder="1" applyAlignment="1">
      <alignment wrapText="1"/>
    </xf>
    <xf numFmtId="0" fontId="0" fillId="0" borderId="4" xfId="0" applyBorder="1" applyAlignment="1">
      <alignment vertical="top" wrapText="1"/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/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/>
    <xf numFmtId="0" fontId="3" fillId="4" borderId="2" xfId="0" applyFont="1" applyFill="1" applyBorder="1"/>
    <xf numFmtId="0" fontId="3" fillId="4" borderId="3" xfId="0" applyFont="1" applyFill="1" applyBorder="1"/>
    <xf numFmtId="0" fontId="7" fillId="6" borderId="0" xfId="0" applyFont="1" applyFill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pane ySplit="3" topLeftCell="A4" activePane="bottomLeft" state="frozen"/>
      <selection pane="bottomLeft" sqref="A1:H2"/>
    </sheetView>
  </sheetViews>
  <sheetFormatPr defaultRowHeight="14.25"/>
  <cols>
    <col min="1" max="1" width="16" customWidth="1"/>
    <col min="2" max="2" width="30" customWidth="1"/>
    <col min="3" max="4" width="26" customWidth="1"/>
    <col min="6" max="6" width="22" customWidth="1"/>
    <col min="7" max="8" width="19" customWidth="1"/>
  </cols>
  <sheetData>
    <row r="1" spans="1:8">
      <c r="A1" s="12" t="s">
        <v>0</v>
      </c>
      <c r="B1" s="12"/>
      <c r="C1" s="12"/>
      <c r="D1" s="12"/>
      <c r="E1" s="12"/>
      <c r="F1" s="12"/>
      <c r="G1" s="12"/>
      <c r="H1" s="12"/>
    </row>
    <row r="2" spans="1:8">
      <c r="A2" s="12"/>
      <c r="B2" s="12"/>
      <c r="C2" s="12"/>
      <c r="D2" s="12"/>
      <c r="E2" s="12"/>
      <c r="F2" s="12"/>
      <c r="G2" s="12"/>
      <c r="H2" s="12"/>
    </row>
    <row r="3" spans="1:8">
      <c r="A3" s="13" t="s">
        <v>1</v>
      </c>
      <c r="B3" s="13"/>
      <c r="C3" s="13"/>
      <c r="D3" s="13"/>
      <c r="E3" s="13"/>
      <c r="F3" s="13"/>
      <c r="G3" s="13"/>
      <c r="H3" s="13"/>
    </row>
    <row r="5" spans="1:8" ht="15">
      <c r="A5" s="14" t="s">
        <v>2</v>
      </c>
      <c r="B5" s="15"/>
      <c r="C5" s="15"/>
      <c r="D5" s="16"/>
      <c r="F5" s="14" t="s">
        <v>3</v>
      </c>
      <c r="G5" s="15"/>
      <c r="H5" s="16"/>
    </row>
    <row r="6" spans="1:8" ht="33.950000000000003" customHeight="1">
      <c r="A6" s="3" t="s">
        <v>4</v>
      </c>
      <c r="B6" s="2" t="s">
        <v>5</v>
      </c>
      <c r="C6" s="2" t="s">
        <v>6</v>
      </c>
      <c r="D6" s="2"/>
      <c r="F6" s="4" t="s">
        <v>7</v>
      </c>
      <c r="G6" s="5">
        <f>COUNTIF(Examples!F6:F14,"PASS")</f>
        <v>9</v>
      </c>
    </row>
    <row r="7" spans="1:8" ht="33.950000000000003" customHeight="1">
      <c r="A7" s="3" t="s">
        <v>8</v>
      </c>
      <c r="B7" s="2" t="s">
        <v>9</v>
      </c>
      <c r="C7" s="2" t="s">
        <v>10</v>
      </c>
      <c r="D7" s="2"/>
      <c r="F7" s="4" t="s">
        <v>11</v>
      </c>
      <c r="G7" s="5">
        <f>COUNTA(Examples!A6:A14)</f>
        <v>9</v>
      </c>
    </row>
    <row r="8" spans="1:8" ht="33.950000000000003" customHeight="1">
      <c r="A8" s="3" t="s">
        <v>12</v>
      </c>
      <c r="B8" s="2" t="s">
        <v>13</v>
      </c>
      <c r="C8" s="2" t="s">
        <v>14</v>
      </c>
      <c r="D8" s="2"/>
      <c r="F8" s="4" t="s">
        <v>15</v>
      </c>
      <c r="G8" s="1" t="s">
        <v>16</v>
      </c>
    </row>
    <row r="9" spans="1:8" ht="33.950000000000003" customHeight="1">
      <c r="A9" s="3" t="s">
        <v>17</v>
      </c>
      <c r="B9" s="2" t="s">
        <v>18</v>
      </c>
      <c r="C9" s="2" t="s">
        <v>19</v>
      </c>
      <c r="D9" s="2"/>
      <c r="F9" s="4" t="s">
        <v>20</v>
      </c>
      <c r="G9" s="1">
        <v>1</v>
      </c>
    </row>
    <row r="10" spans="1:8" ht="33.950000000000003" customHeight="1">
      <c r="F10" s="4" t="s">
        <v>21</v>
      </c>
      <c r="G10" s="1">
        <v>0</v>
      </c>
    </row>
    <row r="11" spans="1:8" ht="15">
      <c r="A11" s="6" t="s">
        <v>22</v>
      </c>
      <c r="B11" s="6" t="s">
        <v>23</v>
      </c>
    </row>
    <row r="12" spans="1:8">
      <c r="A12" s="2" t="s">
        <v>24</v>
      </c>
      <c r="B12" s="7">
        <v>46287.718680555554</v>
      </c>
    </row>
    <row r="13" spans="1:8" ht="15">
      <c r="A13" s="2" t="s">
        <v>25</v>
      </c>
      <c r="B13" s="8" t="s">
        <v>92</v>
      </c>
    </row>
    <row r="14" spans="1:8">
      <c r="A14" s="2" t="s">
        <v>26</v>
      </c>
      <c r="B14" s="2"/>
    </row>
    <row r="16" spans="1:8" ht="15">
      <c r="A16" s="17" t="s">
        <v>27</v>
      </c>
      <c r="B16" s="17"/>
      <c r="C16" s="17"/>
      <c r="D16" s="17"/>
      <c r="E16" s="17"/>
      <c r="F16" s="17"/>
      <c r="G16" s="17"/>
      <c r="H16" s="17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4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22" customWidth="1"/>
    <col min="2" max="2" width="40" customWidth="1"/>
    <col min="3" max="3" width="58" customWidth="1"/>
    <col min="4" max="6" width="18" customWidth="1"/>
  </cols>
  <sheetData>
    <row r="1" spans="1:6">
      <c r="A1" s="12" t="s">
        <v>28</v>
      </c>
      <c r="B1" s="12"/>
      <c r="C1" s="12"/>
      <c r="D1" s="12"/>
      <c r="E1" s="12"/>
      <c r="F1" s="12"/>
    </row>
    <row r="2" spans="1:6">
      <c r="A2" s="12"/>
      <c r="B2" s="12"/>
      <c r="C2" s="12"/>
      <c r="D2" s="12"/>
      <c r="E2" s="12"/>
      <c r="F2" s="12"/>
    </row>
    <row r="3" spans="1:6">
      <c r="A3" s="13" t="s">
        <v>29</v>
      </c>
      <c r="B3" s="13"/>
      <c r="C3" s="13"/>
      <c r="D3" s="13"/>
      <c r="E3" s="13"/>
      <c r="F3" s="13"/>
    </row>
    <row r="5" spans="1:6" ht="15">
      <c r="A5" s="6" t="s">
        <v>30</v>
      </c>
      <c r="B5" s="6" t="s">
        <v>31</v>
      </c>
      <c r="C5" s="6" t="s">
        <v>32</v>
      </c>
      <c r="D5" s="6" t="s">
        <v>33</v>
      </c>
      <c r="E5" s="6" t="s">
        <v>34</v>
      </c>
      <c r="F5" s="6" t="s">
        <v>25</v>
      </c>
    </row>
    <row r="6" spans="1:6" ht="62.1" customHeight="1">
      <c r="A6" s="9" t="s">
        <v>35</v>
      </c>
      <c r="B6" s="9" t="s">
        <v>36</v>
      </c>
      <c r="C6" s="10" t="s">
        <v>37</v>
      </c>
      <c r="D6" s="9" t="s">
        <v>38</v>
      </c>
      <c r="E6" s="9" t="s">
        <v>38</v>
      </c>
      <c r="F6" s="9" t="str">
        <f t="shared" ref="F6:F14" si="0">IF(E6="","NOT RUN",IF(E6=D6,"PASS","CHECK"))</f>
        <v>PASS</v>
      </c>
    </row>
    <row r="7" spans="1:6" ht="62.1" customHeight="1">
      <c r="A7" s="9" t="s">
        <v>39</v>
      </c>
      <c r="B7" s="9" t="s">
        <v>40</v>
      </c>
      <c r="C7" s="10" t="s">
        <v>41</v>
      </c>
      <c r="D7" s="9">
        <v>3</v>
      </c>
      <c r="E7" s="9">
        <v>3</v>
      </c>
      <c r="F7" s="9" t="str">
        <f t="shared" si="0"/>
        <v>PASS</v>
      </c>
    </row>
    <row r="8" spans="1:6" ht="62.1" customHeight="1">
      <c r="A8" s="9" t="s">
        <v>42</v>
      </c>
      <c r="B8" s="9" t="s">
        <v>43</v>
      </c>
      <c r="C8" s="10" t="s">
        <v>44</v>
      </c>
      <c r="D8" s="9">
        <v>3</v>
      </c>
      <c r="E8" s="9">
        <v>3</v>
      </c>
      <c r="F8" s="9" t="str">
        <f t="shared" si="0"/>
        <v>PASS</v>
      </c>
    </row>
    <row r="9" spans="1:6" ht="62.1" customHeight="1">
      <c r="A9" s="9" t="s">
        <v>45</v>
      </c>
      <c r="B9" s="9" t="s">
        <v>46</v>
      </c>
      <c r="C9" s="10" t="s">
        <v>47</v>
      </c>
      <c r="D9" s="9">
        <v>2</v>
      </c>
      <c r="E9" s="9">
        <v>2</v>
      </c>
      <c r="F9" s="9" t="str">
        <f t="shared" si="0"/>
        <v>PASS</v>
      </c>
    </row>
    <row r="10" spans="1:6" ht="62.1" customHeight="1">
      <c r="A10" s="9" t="s">
        <v>48</v>
      </c>
      <c r="B10" s="9" t="s">
        <v>49</v>
      </c>
      <c r="C10" s="10" t="s">
        <v>50</v>
      </c>
      <c r="D10" s="9">
        <v>2</v>
      </c>
      <c r="E10" s="9">
        <v>2</v>
      </c>
      <c r="F10" s="9" t="str">
        <f t="shared" si="0"/>
        <v>PASS</v>
      </c>
    </row>
    <row r="11" spans="1:6" ht="62.1" customHeight="1">
      <c r="A11" s="9" t="s">
        <v>51</v>
      </c>
      <c r="B11" s="9" t="s">
        <v>52</v>
      </c>
      <c r="C11" s="10" t="s">
        <v>53</v>
      </c>
      <c r="D11" s="9">
        <v>1</v>
      </c>
      <c r="E11" s="9">
        <v>1</v>
      </c>
      <c r="F11" s="9" t="str">
        <f t="shared" si="0"/>
        <v>PASS</v>
      </c>
    </row>
    <row r="12" spans="1:6" ht="62.1" customHeight="1">
      <c r="A12" s="9" t="s">
        <v>54</v>
      </c>
      <c r="B12" s="9" t="s">
        <v>55</v>
      </c>
      <c r="C12" s="10" t="s">
        <v>56</v>
      </c>
      <c r="D12" s="9">
        <v>1</v>
      </c>
      <c r="E12" s="9">
        <v>1</v>
      </c>
      <c r="F12" s="9" t="str">
        <f t="shared" si="0"/>
        <v>PASS</v>
      </c>
    </row>
    <row r="13" spans="1:6" ht="62.1" customHeight="1">
      <c r="A13" s="9" t="s">
        <v>57</v>
      </c>
      <c r="B13" s="9" t="s">
        <v>58</v>
      </c>
      <c r="C13" s="10" t="s">
        <v>59</v>
      </c>
      <c r="D13" s="9">
        <v>1</v>
      </c>
      <c r="E13" s="9">
        <v>1</v>
      </c>
      <c r="F13" s="9" t="str">
        <f t="shared" si="0"/>
        <v>PASS</v>
      </c>
    </row>
    <row r="14" spans="1:6" ht="62.1" customHeight="1">
      <c r="A14" s="9" t="s">
        <v>60</v>
      </c>
      <c r="B14" s="9" t="s">
        <v>61</v>
      </c>
      <c r="C14" s="10" t="s">
        <v>62</v>
      </c>
      <c r="D14" s="9" t="s">
        <v>63</v>
      </c>
      <c r="E14" s="9" t="s">
        <v>63</v>
      </c>
      <c r="F14" s="9" t="str">
        <f t="shared" si="0"/>
        <v>PASS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6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38" customWidth="1"/>
    <col min="2" max="4" width="20" customWidth="1"/>
  </cols>
  <sheetData>
    <row r="1" spans="1:6">
      <c r="A1" s="12" t="s">
        <v>64</v>
      </c>
      <c r="B1" s="12"/>
      <c r="C1" s="12"/>
      <c r="D1" s="12"/>
      <c r="E1" s="12"/>
      <c r="F1" s="12"/>
    </row>
    <row r="2" spans="1:6">
      <c r="A2" s="12"/>
      <c r="B2" s="12"/>
      <c r="C2" s="12"/>
      <c r="D2" s="12"/>
      <c r="E2" s="12"/>
      <c r="F2" s="12"/>
    </row>
    <row r="3" spans="1:6">
      <c r="A3" s="13" t="s">
        <v>65</v>
      </c>
      <c r="B3" s="13"/>
      <c r="C3" s="13"/>
      <c r="D3" s="13"/>
      <c r="E3" s="13"/>
      <c r="F3" s="13"/>
    </row>
    <row r="5" spans="1:6" ht="15">
      <c r="A5" s="6" t="s">
        <v>66</v>
      </c>
      <c r="B5" s="6" t="s">
        <v>67</v>
      </c>
      <c r="C5" s="6" t="s">
        <v>68</v>
      </c>
      <c r="D5" s="6" t="s">
        <v>69</v>
      </c>
    </row>
    <row r="6" spans="1:6">
      <c r="A6" s="1" t="s">
        <v>70</v>
      </c>
      <c r="B6" s="1">
        <v>50000</v>
      </c>
      <c r="C6" s="11">
        <v>4.6875E-2</v>
      </c>
      <c r="D6" s="1">
        <v>25001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0"/>
  <sheetViews>
    <sheetView showGridLines="0" workbookViewId="0"/>
  </sheetViews>
  <sheetFormatPr defaultRowHeight="14.25"/>
  <cols>
    <col min="1" max="1" width="22" customWidth="1"/>
    <col min="2" max="3" width="32" customWidth="1"/>
    <col min="4" max="6" width="18" customWidth="1"/>
  </cols>
  <sheetData>
    <row r="1" spans="1:6">
      <c r="A1" s="12" t="s">
        <v>71</v>
      </c>
      <c r="B1" s="12"/>
      <c r="C1" s="12"/>
      <c r="D1" s="12"/>
      <c r="E1" s="12"/>
      <c r="F1" s="12"/>
    </row>
    <row r="2" spans="1:6">
      <c r="A2" s="12"/>
      <c r="B2" s="12"/>
      <c r="C2" s="12"/>
      <c r="D2" s="12"/>
      <c r="E2" s="12"/>
      <c r="F2" s="12"/>
    </row>
    <row r="3" spans="1:6">
      <c r="A3" s="13" t="s">
        <v>72</v>
      </c>
      <c r="B3" s="13"/>
      <c r="C3" s="13"/>
      <c r="D3" s="13"/>
      <c r="E3" s="13"/>
      <c r="F3" s="13"/>
    </row>
    <row r="5" spans="1:6" ht="15">
      <c r="A5" s="6" t="s">
        <v>73</v>
      </c>
      <c r="B5" s="6" t="s">
        <v>74</v>
      </c>
      <c r="C5" s="6" t="s">
        <v>75</v>
      </c>
      <c r="D5" s="6" t="s">
        <v>25</v>
      </c>
      <c r="E5" s="6" t="s">
        <v>20</v>
      </c>
      <c r="F5" s="6" t="s">
        <v>76</v>
      </c>
    </row>
    <row r="6" spans="1:6" ht="15">
      <c r="A6" s="2" t="s">
        <v>77</v>
      </c>
      <c r="B6" s="2" t="s">
        <v>78</v>
      </c>
      <c r="C6" s="2" t="s">
        <v>79</v>
      </c>
      <c r="D6" s="8" t="s">
        <v>80</v>
      </c>
      <c r="E6" s="2">
        <v>1</v>
      </c>
      <c r="F6" s="2">
        <v>0</v>
      </c>
    </row>
    <row r="7" spans="1:6" ht="29.25">
      <c r="A7" s="2" t="s">
        <v>81</v>
      </c>
      <c r="B7" s="2" t="s">
        <v>82</v>
      </c>
      <c r="C7" s="2" t="s">
        <v>83</v>
      </c>
      <c r="D7" s="8" t="s">
        <v>80</v>
      </c>
      <c r="E7" s="2">
        <v>1</v>
      </c>
      <c r="F7" s="2">
        <v>0</v>
      </c>
    </row>
    <row r="8" spans="1:6" ht="29.25">
      <c r="A8" s="2" t="s">
        <v>84</v>
      </c>
      <c r="B8" s="2" t="s">
        <v>85</v>
      </c>
      <c r="C8" s="2" t="s">
        <v>86</v>
      </c>
      <c r="D8" s="8" t="s">
        <v>80</v>
      </c>
      <c r="E8" s="2">
        <v>1</v>
      </c>
      <c r="F8" s="2">
        <v>0</v>
      </c>
    </row>
    <row r="9" spans="1:6" ht="29.25">
      <c r="A9" s="2" t="s">
        <v>87</v>
      </c>
      <c r="B9" s="2" t="s">
        <v>88</v>
      </c>
      <c r="C9" s="2" t="s">
        <v>89</v>
      </c>
      <c r="D9" s="8" t="s">
        <v>80</v>
      </c>
      <c r="E9" s="2">
        <v>1</v>
      </c>
      <c r="F9" s="2">
        <v>0</v>
      </c>
    </row>
    <row r="10" spans="1:6" ht="29.25">
      <c r="A10" s="2" t="s">
        <v>90</v>
      </c>
      <c r="B10" s="2" t="s">
        <v>61</v>
      </c>
      <c r="C10" s="2" t="s">
        <v>91</v>
      </c>
      <c r="D10" s="8" t="s">
        <v>80</v>
      </c>
      <c r="E10" s="2">
        <v>1</v>
      </c>
      <c r="F10" s="2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2026-09-22T22:56:31Z</dcterms:created>
  <dcterms:modified xsi:type="dcterms:W3CDTF">2026-09-23T00:14:54Z</dcterms:modified>
</cp:coreProperties>
</file>